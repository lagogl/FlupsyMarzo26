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I DELTAFUTURO X APP" sheetId="1" r:id="rId5"/>
  </sheets>
  <definedNames/>
  <calcPr/>
</workbook>
</file>

<file path=xl/sharedStrings.xml><?xml version="1.0" encoding="utf-8"?>
<sst xmlns="http://schemas.openxmlformats.org/spreadsheetml/2006/main" count="450" uniqueCount="123">
  <si>
    <t>Date</t>
  </si>
  <si>
    <t>Temperatura aria minima</t>
  </si>
  <si>
    <t>Temperatura aria massima</t>
  </si>
  <si>
    <t>meteo</t>
  </si>
  <si>
    <t>temperatura acqua</t>
  </si>
  <si>
    <t>Disco Secchi in cm (flupsy)</t>
  </si>
  <si>
    <t>Fenomeni di mortalità</t>
  </si>
  <si>
    <t xml:space="preserve">pH </t>
  </si>
  <si>
    <t>NH3</t>
  </si>
  <si>
    <t>O2</t>
  </si>
  <si>
    <t>NH4+ ppb (average last 24 h)</t>
  </si>
  <si>
    <t>Salinità vasca</t>
  </si>
  <si>
    <t>salinita sacca</t>
  </si>
  <si>
    <t>Granchi blu (adulti)</t>
  </si>
  <si>
    <t>Granchi blu (giovanili)</t>
  </si>
  <si>
    <t>Granchi blu con uova</t>
  </si>
  <si>
    <t>Cambio esca Nasse</t>
  </si>
  <si>
    <t>Pastiglie sand nursery</t>
  </si>
  <si>
    <t>Clorofilla A (μg/l) (Porto Garibaldi ARPAE)</t>
  </si>
  <si>
    <t>specie</t>
  </si>
  <si>
    <t>colore acqua</t>
  </si>
  <si>
    <t>Concentrazione algale laguna (cell/ml)</t>
  </si>
  <si>
    <t>Concentrazione algale flupsy (cell/ml)</t>
  </si>
  <si>
    <t>Chaetoceros</t>
  </si>
  <si>
    <t>Skeletonema</t>
  </si>
  <si>
    <t xml:space="preserve">Skeletonema
spp. e Chaetoceros spp. </t>
  </si>
  <si>
    <t>Pseudo-nitzschia
delicatissima complex (Gruppo Diatomee)</t>
  </si>
  <si>
    <t>Dinoflagellate</t>
  </si>
  <si>
    <t>generi Chaetoceros spp. e
Dactyliosolen spp..</t>
  </si>
  <si>
    <t>Fioriture Chaetoceros, chlorophycear da acque dolci.</t>
  </si>
  <si>
    <t>nanoalghe</t>
  </si>
  <si>
    <t>Heterocapsa</t>
  </si>
  <si>
    <t>Fioriture Cyclotella ed Heterocapsa</t>
  </si>
  <si>
    <t>Chaetoceros.; Ctenofori,
specie Mnemiopsis leidyi e meduse della specie Rhizostoma
pulmo.</t>
  </si>
  <si>
    <t>Diatomee (Chaetoceros
spp.) che delle Dinoflagellate (Gymnodiniales).</t>
  </si>
  <si>
    <t>Ctenofori, specie Mnemiopsis leidyi e meduse quali Rhizostoma
pulmo, Cotylorhiza tuberculata e Carybdea marsupialis.</t>
  </si>
  <si>
    <t>Chaetoceros spp. e Cyclotella spp.; Ctenofori, specie Mnemiopsis leidyi e meduse quali Rhizostoma
pulmo, Cotylorhiza tuberculata e Carybdea marsupialis.</t>
  </si>
  <si>
    <t>(Chaetoceros
spp. e Pseudo-nitzschia spp.). Ctenofori, specie
Mnemiopsis leidyi e in abbondanze minori meduse quali Rhizostoma
pulmo, Cotylorhiza tuberculata.</t>
  </si>
  <si>
    <t>(Leptocylindrus sp.
e Chaetoceros spp) che da Dinoflagellate (Scrippsiella sp. e
Prorocentrum triestinum)</t>
  </si>
  <si>
    <t>Fioritura Skeletonema</t>
  </si>
  <si>
    <t>Fioriture Skeletonema</t>
  </si>
  <si>
    <t>Fioriture Chaetoceros, Skeletonema</t>
  </si>
  <si>
    <t>tendente al marrone</t>
  </si>
  <si>
    <t>Fioriture Skeletonema, Chaeoceros, Pseudo-nitschia</t>
  </si>
  <si>
    <t>verde-marrone</t>
  </si>
  <si>
    <t>fioritura Pseudo-nitschia</t>
  </si>
  <si>
    <t>Pseudo-nitzchia Chaetoceros</t>
  </si>
  <si>
    <t>Diatomee e fitoflagellate di dimensione inferiore ai 5 μm.</t>
  </si>
  <si>
    <t>verde-rossa</t>
  </si>
  <si>
    <t>Cerataulina pelagica</t>
  </si>
  <si>
    <t>verde</t>
  </si>
  <si>
    <t>meduse appartenetti
prevalentemente alla specie Aurelia aurita tipica del periodo</t>
  </si>
  <si>
    <t>Cyclotella nanoplankton</t>
  </si>
  <si>
    <t>cyclotella chlorophyceaea</t>
  </si>
  <si>
    <t>cyclotella</t>
  </si>
  <si>
    <t>diatomee; Dai controlli effettuati lungo colonna d'acqua con telecamera
subacquea, si continua ad osservare la presenza di aggregati di origine
fitoplanctonica sotto forma di filamenti e reticoli. Detto materiale oltre ad
essere presente lungo la verticale, risulta a tratti essersi depositato a
livello del fondale, dove i processi degradativi in atto possono
contribuire alla carenza di ossigeno misurata.</t>
  </si>
  <si>
    <t>diatomee</t>
  </si>
  <si>
    <t>Diatomee e altro</t>
  </si>
  <si>
    <t>Dai controlli effettuati lungo colonna d'acqua con telecamera subacquea,
permane, lungo la costa, la presenza di aggregati di origine fitoplanctonica sotto
forma di filamenti e reticoli. In alcuni tratti il materiale tende a risalire in
superficie addensandosi a formare delle macchie. L'azione del vento e delle
correnti sposta questi affioramenti nelle varie direzioni.</t>
  </si>
  <si>
    <t>Diatomee (Chaetoceros spp. e Thalassiosira spp.) e dei
Dinoflagellati (Scrippsiella spp.).</t>
  </si>
  <si>
    <t>Chaetoceros Thalassiosira</t>
  </si>
  <si>
    <t>fioriture di diatomee rappresentate
principalmente dai generi Chaetoceros spp, Pseudo-nitzschia spp, e
Thalassiosira spp</t>
  </si>
  <si>
    <t>coperto</t>
  </si>
  <si>
    <t>parz.coperto</t>
  </si>
  <si>
    <t>sereno</t>
  </si>
  <si>
    <t>Fioriture Chaetoceros socialis</t>
  </si>
  <si>
    <t xml:space="preserve">nebbia </t>
  </si>
  <si>
    <t>nebbia</t>
  </si>
  <si>
    <t>SERENO</t>
  </si>
  <si>
    <t xml:space="preserve">sereno </t>
  </si>
  <si>
    <t>Intensa fioritura di Chaetoceros socialis</t>
  </si>
  <si>
    <t>rossa</t>
  </si>
  <si>
    <t>novoloso fos</t>
  </si>
  <si>
    <t>parz coperto</t>
  </si>
  <si>
    <t>Fioriture diatomee</t>
  </si>
  <si>
    <t xml:space="preserve">coperto  </t>
  </si>
  <si>
    <t xml:space="preserve">nebbia coperto </t>
  </si>
  <si>
    <t>soleggiato</t>
  </si>
  <si>
    <t xml:space="preserve">COPERTO </t>
  </si>
  <si>
    <t>pioggia</t>
  </si>
  <si>
    <t xml:space="preserve">coperto </t>
  </si>
  <si>
    <t>molta pioggia</t>
  </si>
  <si>
    <t>semi coperto</t>
  </si>
  <si>
    <t>Cryphtophyceae</t>
  </si>
  <si>
    <t>vento forte e pioggia</t>
  </si>
  <si>
    <t>sole</t>
  </si>
  <si>
    <t xml:space="preserve">parz coperto        </t>
  </si>
  <si>
    <t>coperto nebbia</t>
  </si>
  <si>
    <t>sonda non funzionante</t>
  </si>
  <si>
    <t>non richiesta</t>
  </si>
  <si>
    <t>pioggia+nebbia</t>
  </si>
  <si>
    <t>coperto+foschia</t>
  </si>
  <si>
    <t>coperto foschia</t>
  </si>
  <si>
    <t>Fioriture Skeletonema, Pseudo-nitschia</t>
  </si>
  <si>
    <t>coperto pioggia</t>
  </si>
  <si>
    <t>coperto/pioggia</t>
  </si>
  <si>
    <t xml:space="preserve">pioggia </t>
  </si>
  <si>
    <t>Diatomee</t>
  </si>
  <si>
    <t>X</t>
  </si>
  <si>
    <t>Diatomee; Si osserva un incremento generalizzato delle temperature delle acque superficiali.
L'area settentrionale, in particolare, presenta una temperatura media più elevata.
Questo fenomeno è riconducibile a una duplice causa: in parte, la salinità ridotta in
quest'area può favorire un maggiore riscaldamento dello strato superficiale dell'acqua
marina; in parte, le rilevazioni nel settore meridionale, essendo state effettuate dopo gli
eventi meteorologici, sono state soggette ad un rimescolamento delle acque che ha
contribuito a una diminuzione delle temperature superficiali.
È stata rilevata una trasparenza particolarmente elevata</t>
  </si>
  <si>
    <t>Chaetoceros e Cyclotella) e nanoplancton</t>
  </si>
  <si>
    <t>inizio antozoi idrozoi e inizio trattamenti preventivi</t>
  </si>
  <si>
    <t>Diatomee (Chaetoceros e Thalassionema nitzchioides) e nanoplancton</t>
  </si>
  <si>
    <t>x</t>
  </si>
  <si>
    <t>100+</t>
  </si>
  <si>
    <t>nanoplancton (inferiore a 20 micron)</t>
  </si>
  <si>
    <t>6 Kg SN1 + 6 kg SN3</t>
  </si>
  <si>
    <t>toccato fondo</t>
  </si>
  <si>
    <t>nanoplancton e da abbondanti dinoflagellate (Prorocentrum triestinum e Peridiniales spp.)</t>
  </si>
  <si>
    <t>diatomee (Chaetoceros spp), noci di mare ( Mnemiopsis
leidyi)</t>
  </si>
  <si>
    <t>Diatomee,  Mnemiopsis
leidyi,</t>
  </si>
  <si>
    <t>Mnemiopsis leidyi</t>
  </si>
  <si>
    <t xml:space="preserve">Chaetoceros spp. e nanoplancton </t>
  </si>
  <si>
    <t>da 3 settimane cause ossigeno mai saturo, piovosità, apertura acqua risaie, escavazione vasca pond3) la mortalità nelle sand nursery in particolare nelle grosse tra il 9 e 16 % con picchi del 30% nelle sn1a sn1b</t>
  </si>
  <si>
    <t>sereno con nebbia</t>
  </si>
  <si>
    <t xml:space="preserve"> </t>
  </si>
  <si>
    <t>coperto con nebbia</t>
  </si>
  <si>
    <t>Si nota della mortalità in box FL nostra, molto poca in quella proveniente da Ca Pisani. Mortalità più alta nelle code a fine ciclo del 2,5 e in -3 stranamente fiappo</t>
  </si>
  <si>
    <t>Prevedibile mortalità alta rilevata in box vagliati, quasi tutti gusci spalancati, si considerano le possibili cause</t>
  </si>
  <si>
    <t>Poca mortalità in prodotto arrivaro da Ca Pisani in perfette e bellissime condizioni ma costipato dall'acqua e frenato dalle temperature in diminuzione</t>
  </si>
  <si>
    <t>parz coperto con nebbia</t>
  </si>
  <si>
    <t>Notata nuovamente stessa mortalità lenta e continua. Si valuta vagliatura per salvare il T3 e 3,5 e avere una stima dei morti</t>
  </si>
  <si>
    <t>Vagliatura di T3 ha permesso una stima più precisa della mortalità causa condizioni dell'acqua. Si spera in un boost migliore dopo questa manovra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</si>
</sst>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.mm"/>
  </numFmts>
  <fonts count="8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rgb="FF000000"/>
      <name val="Cambria"/>
    </font>
    <font>
      <b/>
      <sz val="8.0"/>
      <color theme="1"/>
      <name val="Arial"/>
    </font>
    <font>
      <b/>
      <u/>
      <sz val="8.0"/>
      <color rgb="FF0000FF"/>
      <name val="Arial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1" xfId="0" applyAlignment="1" applyBorder="1" applyFont="1" applyNumberFormat="1">
      <alignment horizontal="center" readingOrder="0" shrinkToFit="0" vertical="bottom" wrapText="1"/>
    </xf>
    <xf borderId="2" fillId="0" fontId="3" numFmtId="1" xfId="0" applyAlignment="1" applyBorder="1" applyFont="1" applyNumberFormat="1">
      <alignment horizontal="center" readingOrder="0" shrinkToFit="0" vertical="bottom" wrapText="1"/>
    </xf>
    <xf borderId="1" fillId="0" fontId="4" numFmtId="2" xfId="0" applyAlignment="1" applyBorder="1" applyFont="1" applyNumberFormat="1">
      <alignment horizontal="center" readingOrder="0" shrinkToFit="0" vertical="bottom" wrapText="1"/>
    </xf>
    <xf borderId="1" fillId="0" fontId="3" numFmtId="2" xfId="0" applyAlignment="1" applyBorder="1" applyFont="1" applyNumberFormat="1">
      <alignment horizontal="center" readingOrder="0" shrinkToFit="0" vertical="bottom" wrapText="1"/>
    </xf>
    <xf borderId="1" fillId="3" fontId="5" numFmtId="3" xfId="0" applyAlignment="1" applyBorder="1" applyFill="1" applyFont="1" applyNumberFormat="1">
      <alignment horizontal="center" readingOrder="0" shrinkToFit="0" wrapText="1"/>
    </xf>
    <xf borderId="1" fillId="0" fontId="1" numFmtId="164" xfId="0" applyAlignment="1" applyBorder="1" applyFont="1" applyNumberFormat="1">
      <alignment horizontal="center" vertical="bottom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" xfId="0" applyAlignment="1" applyBorder="1" applyFont="1" applyNumberFormat="1">
      <alignment horizontal="center" readingOrder="0"/>
    </xf>
    <xf borderId="2" fillId="0" fontId="5" numFmtId="1" xfId="0" applyAlignment="1" applyBorder="1" applyFont="1" applyNumberFormat="1">
      <alignment horizontal="center" readingOrder="0"/>
    </xf>
    <xf borderId="1" fillId="0" fontId="5" numFmtId="2" xfId="0" applyAlignment="1" applyBorder="1" applyFont="1" applyNumberFormat="1">
      <alignment horizontal="center" readingOrder="0"/>
    </xf>
    <xf borderId="1" fillId="0" fontId="5" numFmtId="2" xfId="0" applyAlignment="1" applyBorder="1" applyFont="1" applyNumberFormat="1">
      <alignment horizontal="center" readingOrder="0" shrinkToFit="0" wrapText="1"/>
    </xf>
    <xf borderId="1" fillId="3" fontId="5" numFmtId="3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0" fontId="6" numFmtId="1" xfId="0" applyAlignment="1" applyBorder="1" applyFont="1" applyNumberFormat="1">
      <alignment horizontal="center"/>
    </xf>
    <xf borderId="1" fillId="0" fontId="6" numFmtId="2" xfId="0" applyAlignment="1" applyBorder="1" applyFont="1" applyNumberFormat="1">
      <alignment horizontal="center"/>
    </xf>
    <xf borderId="1" fillId="0" fontId="6" numFmtId="2" xfId="0" applyAlignment="1" applyBorder="1" applyFont="1" applyNumberFormat="1">
      <alignment horizontal="center" shrinkToFit="0" wrapText="1"/>
    </xf>
    <xf borderId="1" fillId="0" fontId="6" numFmtId="1" xfId="0" applyAlignment="1" applyBorder="1" applyFont="1" applyNumberFormat="1">
      <alignment horizontal="center" readingOrder="0"/>
    </xf>
    <xf borderId="1" fillId="0" fontId="6" numFmtId="2" xfId="0" applyAlignment="1" applyBorder="1" applyFont="1" applyNumberFormat="1">
      <alignment horizontal="center" readingOrder="0"/>
    </xf>
    <xf borderId="1" fillId="0" fontId="6" numFmtId="2" xfId="0" applyAlignment="1" applyBorder="1" applyFont="1" applyNumberFormat="1">
      <alignment horizontal="center" readingOrder="0" shrinkToFit="0" wrapText="1"/>
    </xf>
    <xf borderId="1" fillId="0" fontId="6" numFmtId="165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0" fillId="3" fontId="5" numFmtId="0" xfId="0" applyAlignment="1" applyFont="1">
      <alignment horizontal="center"/>
    </xf>
    <xf borderId="1" fillId="3" fontId="5" numFmtId="3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1"/>
    </xf>
    <xf borderId="0" fillId="0" fontId="7" numFmtId="2" xfId="0" applyAlignment="1" applyFont="1" applyNumberFormat="1">
      <alignment readingOrder="0"/>
    </xf>
    <xf borderId="1" fillId="0" fontId="6" numFmtId="164" xfId="0" applyAlignment="1" applyBorder="1" applyFont="1" applyNumberFormat="1">
      <alignment horizontal="center"/>
    </xf>
    <xf borderId="3" fillId="0" fontId="6" numFmtId="164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3" fillId="2" fontId="6" numFmtId="0" xfId="0" applyAlignment="1" applyBorder="1" applyFont="1">
      <alignment horizontal="center"/>
    </xf>
    <xf borderId="3" fillId="0" fontId="6" numFmtId="1" xfId="0" applyAlignment="1" applyBorder="1" applyFont="1" applyNumberFormat="1">
      <alignment horizontal="center"/>
    </xf>
    <xf borderId="3" fillId="0" fontId="6" numFmtId="2" xfId="0" applyAlignment="1" applyBorder="1" applyFont="1" applyNumberFormat="1">
      <alignment horizontal="center"/>
    </xf>
    <xf borderId="3" fillId="0" fontId="6" numFmtId="2" xfId="0" applyAlignment="1" applyBorder="1" applyFont="1" applyNumberFormat="1">
      <alignment horizontal="center" shrinkToFit="0" wrapText="1"/>
    </xf>
    <xf borderId="3" fillId="3" fontId="5" numFmtId="3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pae.it/it/temi-ambientali/mare/report-e-bollettini/bollettini-mar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3" width="8.75"/>
  </cols>
  <sheetData>
    <row r="1" ht="51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>
      <c r="A2" s="11">
        <v>44927.0</v>
      </c>
      <c r="S2" s="12"/>
      <c r="T2" s="13"/>
      <c r="U2" s="13"/>
    </row>
    <row r="3">
      <c r="A3" s="11">
        <v>44928.0</v>
      </c>
      <c r="S3" s="12"/>
      <c r="T3" s="13"/>
      <c r="U3" s="13"/>
    </row>
    <row r="4">
      <c r="A4" s="11">
        <v>44929.0</v>
      </c>
      <c r="S4" s="12"/>
      <c r="T4" s="13"/>
      <c r="U4" s="13"/>
    </row>
    <row r="5">
      <c r="A5" s="11">
        <v>44930.0</v>
      </c>
      <c r="S5" s="12"/>
      <c r="T5" s="13"/>
      <c r="U5" s="13"/>
    </row>
    <row r="6">
      <c r="A6" s="11">
        <v>44931.0</v>
      </c>
      <c r="S6" s="12"/>
      <c r="T6" s="13"/>
      <c r="U6" s="13"/>
    </row>
    <row r="7">
      <c r="A7" s="11">
        <v>44932.0</v>
      </c>
      <c r="S7" s="12"/>
      <c r="T7" s="13"/>
      <c r="U7" s="13"/>
    </row>
    <row r="8">
      <c r="A8" s="11">
        <v>44933.0</v>
      </c>
      <c r="S8" s="12"/>
      <c r="T8" s="13"/>
      <c r="U8" s="13"/>
    </row>
    <row r="9">
      <c r="A9" s="11">
        <v>44934.0</v>
      </c>
      <c r="S9" s="12"/>
      <c r="T9" s="13"/>
      <c r="U9" s="13"/>
    </row>
    <row r="10">
      <c r="A10" s="11">
        <v>44935.0</v>
      </c>
      <c r="S10" s="12"/>
      <c r="T10" s="13"/>
      <c r="U10" s="13"/>
    </row>
    <row r="11">
      <c r="A11" s="11">
        <v>44936.0</v>
      </c>
      <c r="S11" s="12"/>
      <c r="T11" s="13"/>
      <c r="U11" s="13"/>
    </row>
    <row r="12">
      <c r="A12" s="11">
        <v>44937.0</v>
      </c>
      <c r="S12" s="12"/>
      <c r="T12" s="13"/>
      <c r="U12" s="13"/>
    </row>
    <row r="13">
      <c r="A13" s="11">
        <v>44938.0</v>
      </c>
      <c r="S13" s="14">
        <v>5.22</v>
      </c>
      <c r="T13" s="15" t="s">
        <v>23</v>
      </c>
      <c r="U13" s="13"/>
    </row>
    <row r="14">
      <c r="A14" s="11">
        <v>44939.0</v>
      </c>
      <c r="S14" s="12"/>
      <c r="T14" s="13"/>
      <c r="U14" s="13"/>
    </row>
    <row r="15">
      <c r="A15" s="11">
        <v>44940.0</v>
      </c>
      <c r="S15" s="12"/>
      <c r="T15" s="13"/>
      <c r="U15" s="13"/>
    </row>
    <row r="16">
      <c r="A16" s="11">
        <v>44941.0</v>
      </c>
      <c r="S16" s="12"/>
      <c r="T16" s="13"/>
      <c r="U16" s="13"/>
    </row>
    <row r="17">
      <c r="A17" s="11">
        <v>44942.0</v>
      </c>
      <c r="S17" s="12"/>
      <c r="T17" s="13"/>
      <c r="U17" s="13"/>
    </row>
    <row r="18">
      <c r="A18" s="11">
        <v>44943.0</v>
      </c>
      <c r="S18" s="12"/>
      <c r="T18" s="13"/>
      <c r="U18" s="13"/>
    </row>
    <row r="19">
      <c r="A19" s="11">
        <v>44944.0</v>
      </c>
      <c r="S19" s="12"/>
      <c r="T19" s="13"/>
      <c r="U19" s="13"/>
    </row>
    <row r="20">
      <c r="A20" s="11">
        <v>44945.0</v>
      </c>
      <c r="S20" s="12"/>
      <c r="T20" s="13"/>
      <c r="U20" s="13"/>
    </row>
    <row r="21">
      <c r="A21" s="11">
        <v>44946.0</v>
      </c>
      <c r="S21" s="12"/>
      <c r="T21" s="13"/>
      <c r="U21" s="13"/>
    </row>
    <row r="22">
      <c r="A22" s="11">
        <v>44947.0</v>
      </c>
      <c r="S22" s="12"/>
      <c r="T22" s="13"/>
      <c r="U22" s="13"/>
    </row>
    <row r="23">
      <c r="A23" s="11">
        <v>44948.0</v>
      </c>
      <c r="S23" s="12"/>
      <c r="T23" s="13"/>
      <c r="U23" s="13"/>
    </row>
    <row r="24">
      <c r="A24" s="11">
        <v>44949.0</v>
      </c>
      <c r="S24" s="12"/>
      <c r="T24" s="13"/>
      <c r="U24" s="13"/>
    </row>
    <row r="25">
      <c r="A25" s="11">
        <v>44950.0</v>
      </c>
      <c r="S25" s="12"/>
      <c r="T25" s="13"/>
      <c r="U25" s="13"/>
    </row>
    <row r="26">
      <c r="A26" s="11">
        <v>44951.0</v>
      </c>
      <c r="S26" s="12"/>
      <c r="T26" s="13"/>
      <c r="U26" s="13"/>
    </row>
    <row r="27">
      <c r="A27" s="11">
        <v>44952.0</v>
      </c>
      <c r="S27" s="12"/>
      <c r="T27" s="13"/>
      <c r="U27" s="13"/>
    </row>
    <row r="28">
      <c r="A28" s="11">
        <v>44953.0</v>
      </c>
      <c r="S28" s="12"/>
      <c r="T28" s="13"/>
      <c r="U28" s="13"/>
    </row>
    <row r="29">
      <c r="A29" s="11">
        <v>44954.0</v>
      </c>
      <c r="S29" s="12"/>
      <c r="T29" s="13"/>
      <c r="U29" s="13"/>
    </row>
    <row r="30">
      <c r="A30" s="11">
        <v>44955.0</v>
      </c>
      <c r="S30" s="12"/>
      <c r="T30" s="13"/>
      <c r="U30" s="13"/>
    </row>
    <row r="31">
      <c r="A31" s="11">
        <v>44956.0</v>
      </c>
      <c r="S31" s="12"/>
      <c r="T31" s="13"/>
      <c r="U31" s="13"/>
    </row>
    <row r="32">
      <c r="A32" s="11">
        <v>44957.0</v>
      </c>
      <c r="S32" s="12"/>
      <c r="T32" s="13"/>
      <c r="U32" s="13"/>
    </row>
    <row r="33">
      <c r="A33" s="11">
        <v>44958.0</v>
      </c>
      <c r="S33" s="14">
        <v>4.22</v>
      </c>
      <c r="T33" s="13"/>
      <c r="U33" s="13"/>
    </row>
    <row r="34">
      <c r="A34" s="11">
        <v>44959.0</v>
      </c>
      <c r="S34" s="12"/>
      <c r="T34" s="13"/>
      <c r="U34" s="13"/>
    </row>
    <row r="35">
      <c r="A35" s="11">
        <v>44960.0</v>
      </c>
      <c r="S35" s="12"/>
      <c r="T35" s="13"/>
      <c r="U35" s="13"/>
    </row>
    <row r="36">
      <c r="A36" s="11">
        <v>44961.0</v>
      </c>
      <c r="S36" s="12"/>
      <c r="T36" s="13"/>
      <c r="U36" s="13"/>
    </row>
    <row r="37">
      <c r="A37" s="11">
        <v>44962.0</v>
      </c>
      <c r="S37" s="12"/>
      <c r="T37" s="13"/>
      <c r="U37" s="13"/>
    </row>
    <row r="38">
      <c r="A38" s="11">
        <v>44963.0</v>
      </c>
      <c r="S38" s="12"/>
      <c r="T38" s="13"/>
      <c r="U38" s="13"/>
    </row>
    <row r="39">
      <c r="A39" s="11">
        <v>44964.0</v>
      </c>
      <c r="S39" s="12"/>
      <c r="T39" s="13"/>
      <c r="U39" s="13"/>
    </row>
    <row r="40">
      <c r="A40" s="11">
        <v>44965.0</v>
      </c>
      <c r="S40" s="12"/>
      <c r="T40" s="13"/>
      <c r="U40" s="13"/>
    </row>
    <row r="41">
      <c r="A41" s="11">
        <v>44966.0</v>
      </c>
      <c r="S41" s="12"/>
      <c r="T41" s="13"/>
      <c r="U41" s="13"/>
    </row>
    <row r="42">
      <c r="A42" s="11">
        <v>44967.0</v>
      </c>
      <c r="S42" s="12"/>
      <c r="T42" s="13"/>
      <c r="U42" s="13"/>
    </row>
    <row r="43">
      <c r="A43" s="11">
        <v>44968.0</v>
      </c>
      <c r="S43" s="12"/>
      <c r="T43" s="13"/>
      <c r="U43" s="13"/>
    </row>
    <row r="44">
      <c r="A44" s="11">
        <v>44969.0</v>
      </c>
      <c r="S44" s="12"/>
      <c r="T44" s="13"/>
      <c r="U44" s="13"/>
    </row>
    <row r="45">
      <c r="A45" s="11">
        <v>44970.0</v>
      </c>
      <c r="S45" s="12"/>
      <c r="T45" s="13"/>
      <c r="U45" s="13"/>
    </row>
    <row r="46">
      <c r="A46" s="11">
        <v>44971.0</v>
      </c>
      <c r="S46" s="14">
        <v>8.22</v>
      </c>
      <c r="T46" s="15" t="s">
        <v>24</v>
      </c>
      <c r="U46" s="13"/>
    </row>
    <row r="47">
      <c r="A47" s="11">
        <v>44972.0</v>
      </c>
      <c r="S47" s="12"/>
      <c r="T47" s="13"/>
      <c r="U47" s="13"/>
    </row>
    <row r="48">
      <c r="A48" s="11">
        <v>44973.0</v>
      </c>
      <c r="S48" s="12"/>
      <c r="T48" s="13"/>
      <c r="U48" s="13"/>
    </row>
    <row r="49">
      <c r="A49" s="11">
        <v>44974.0</v>
      </c>
      <c r="S49" s="12"/>
      <c r="T49" s="13"/>
      <c r="U49" s="13"/>
    </row>
    <row r="50">
      <c r="A50" s="11">
        <v>44975.0</v>
      </c>
      <c r="S50" s="12"/>
      <c r="T50" s="13"/>
      <c r="U50" s="13"/>
    </row>
    <row r="51">
      <c r="A51" s="11">
        <v>44976.0</v>
      </c>
      <c r="S51" s="12"/>
      <c r="T51" s="13"/>
      <c r="U51" s="13"/>
    </row>
    <row r="52">
      <c r="A52" s="11">
        <v>44977.0</v>
      </c>
      <c r="S52" s="12"/>
      <c r="T52" s="13"/>
      <c r="U52" s="13"/>
    </row>
    <row r="53">
      <c r="A53" s="11">
        <v>44978.0</v>
      </c>
      <c r="S53" s="12"/>
      <c r="T53" s="13"/>
      <c r="U53" s="13"/>
    </row>
    <row r="54">
      <c r="A54" s="11">
        <v>44979.0</v>
      </c>
      <c r="S54" s="12"/>
      <c r="T54" s="13"/>
      <c r="U54" s="13"/>
    </row>
    <row r="55">
      <c r="A55" s="11">
        <v>44980.0</v>
      </c>
      <c r="S55" s="12"/>
      <c r="T55" s="13"/>
      <c r="U55" s="13"/>
    </row>
    <row r="56">
      <c r="A56" s="11">
        <v>44981.0</v>
      </c>
      <c r="S56" s="12"/>
      <c r="T56" s="13"/>
      <c r="U56" s="13"/>
    </row>
    <row r="57">
      <c r="A57" s="11">
        <v>44982.0</v>
      </c>
      <c r="S57" s="12"/>
      <c r="T57" s="13"/>
      <c r="U57" s="13"/>
    </row>
    <row r="58">
      <c r="A58" s="11">
        <v>44983.0</v>
      </c>
      <c r="S58" s="12"/>
      <c r="T58" s="13"/>
      <c r="U58" s="13"/>
    </row>
    <row r="59">
      <c r="A59" s="11">
        <v>44984.0</v>
      </c>
      <c r="S59" s="12"/>
      <c r="T59" s="13"/>
      <c r="U59" s="13"/>
    </row>
    <row r="60">
      <c r="A60" s="11">
        <v>44985.0</v>
      </c>
      <c r="S60" s="12"/>
      <c r="T60" s="13"/>
      <c r="U60" s="13"/>
    </row>
    <row r="61">
      <c r="A61" s="11">
        <v>44986.0</v>
      </c>
      <c r="S61" s="12"/>
      <c r="T61" s="13"/>
      <c r="U61" s="13"/>
    </row>
    <row r="62">
      <c r="A62" s="11">
        <v>44987.0</v>
      </c>
      <c r="S62" s="12"/>
      <c r="T62" s="13"/>
      <c r="U62" s="13"/>
    </row>
    <row r="63">
      <c r="A63" s="11">
        <v>44988.0</v>
      </c>
      <c r="S63" s="12"/>
      <c r="T63" s="13"/>
      <c r="U63" s="13"/>
    </row>
    <row r="64">
      <c r="A64" s="11">
        <v>44989.0</v>
      </c>
      <c r="S64" s="12"/>
      <c r="T64" s="13"/>
      <c r="U64" s="13"/>
    </row>
    <row r="65">
      <c r="A65" s="11">
        <v>44990.0</v>
      </c>
      <c r="S65" s="12"/>
      <c r="T65" s="13"/>
      <c r="U65" s="13"/>
    </row>
    <row r="66">
      <c r="A66" s="11">
        <v>44991.0</v>
      </c>
      <c r="S66" s="14">
        <v>10.14</v>
      </c>
      <c r="T66" s="15" t="s">
        <v>25</v>
      </c>
      <c r="U66" s="13"/>
    </row>
    <row r="67">
      <c r="A67" s="11">
        <v>44992.0</v>
      </c>
      <c r="S67" s="12"/>
      <c r="T67" s="13"/>
      <c r="U67" s="13"/>
    </row>
    <row r="68">
      <c r="A68" s="11">
        <v>44993.0</v>
      </c>
      <c r="S68" s="12"/>
      <c r="T68" s="13"/>
      <c r="U68" s="13"/>
    </row>
    <row r="69">
      <c r="A69" s="11">
        <v>44994.0</v>
      </c>
      <c r="S69" s="12"/>
      <c r="T69" s="13"/>
      <c r="U69" s="13"/>
    </row>
    <row r="70">
      <c r="A70" s="11">
        <v>44995.0</v>
      </c>
      <c r="S70" s="12"/>
      <c r="T70" s="13"/>
      <c r="U70" s="13"/>
    </row>
    <row r="71">
      <c r="A71" s="11">
        <v>44996.0</v>
      </c>
      <c r="S71" s="12"/>
      <c r="T71" s="13"/>
      <c r="U71" s="13"/>
    </row>
    <row r="72">
      <c r="A72" s="11">
        <v>44997.0</v>
      </c>
      <c r="S72" s="12"/>
      <c r="T72" s="13"/>
      <c r="U72" s="13"/>
    </row>
    <row r="73">
      <c r="A73" s="11">
        <v>44998.0</v>
      </c>
      <c r="S73" s="12"/>
      <c r="T73" s="13"/>
      <c r="U73" s="13"/>
    </row>
    <row r="74">
      <c r="A74" s="11">
        <v>44999.0</v>
      </c>
      <c r="S74" s="12"/>
      <c r="T74" s="13"/>
      <c r="U74" s="13"/>
    </row>
    <row r="75">
      <c r="A75" s="11">
        <v>45000.0</v>
      </c>
      <c r="S75" s="12"/>
      <c r="T75" s="13"/>
      <c r="U75" s="13"/>
    </row>
    <row r="76">
      <c r="A76" s="11">
        <v>45001.0</v>
      </c>
      <c r="S76" s="12"/>
      <c r="T76" s="13"/>
      <c r="U76" s="13"/>
    </row>
    <row r="77">
      <c r="A77" s="11">
        <v>45002.0</v>
      </c>
      <c r="S77" s="12"/>
      <c r="T77" s="13"/>
      <c r="U77" s="13"/>
    </row>
    <row r="78">
      <c r="A78" s="11">
        <v>45003.0</v>
      </c>
      <c r="S78" s="12"/>
      <c r="T78" s="13"/>
      <c r="U78" s="13"/>
    </row>
    <row r="79">
      <c r="A79" s="11">
        <v>45004.0</v>
      </c>
      <c r="S79" s="12"/>
      <c r="T79" s="13"/>
      <c r="U79" s="13"/>
    </row>
    <row r="80">
      <c r="A80" s="11">
        <v>45005.0</v>
      </c>
      <c r="S80" s="12"/>
      <c r="T80" s="13"/>
      <c r="U80" s="13"/>
    </row>
    <row r="81">
      <c r="A81" s="11">
        <v>45006.0</v>
      </c>
      <c r="S81" s="14">
        <v>9.54</v>
      </c>
      <c r="T81" s="15" t="s">
        <v>26</v>
      </c>
      <c r="U81" s="13"/>
    </row>
    <row r="82">
      <c r="A82" s="11">
        <v>45007.0</v>
      </c>
      <c r="S82" s="12"/>
      <c r="T82" s="13"/>
      <c r="U82" s="13"/>
    </row>
    <row r="83">
      <c r="A83" s="11">
        <v>45008.0</v>
      </c>
      <c r="S83" s="12"/>
      <c r="T83" s="13"/>
      <c r="U83" s="13"/>
    </row>
    <row r="84">
      <c r="A84" s="11">
        <v>45009.0</v>
      </c>
      <c r="S84" s="12"/>
      <c r="T84" s="13"/>
      <c r="U84" s="13"/>
    </row>
    <row r="85">
      <c r="A85" s="11">
        <v>45010.0</v>
      </c>
      <c r="S85" s="12"/>
      <c r="T85" s="13"/>
      <c r="U85" s="13"/>
    </row>
    <row r="86">
      <c r="A86" s="11">
        <v>45011.0</v>
      </c>
      <c r="S86" s="12"/>
      <c r="T86" s="13"/>
      <c r="U86" s="13"/>
    </row>
    <row r="87">
      <c r="A87" s="11">
        <v>45012.0</v>
      </c>
      <c r="S87" s="12"/>
      <c r="T87" s="13"/>
      <c r="U87" s="13"/>
    </row>
    <row r="88">
      <c r="A88" s="11">
        <v>45013.0</v>
      </c>
      <c r="S88" s="12"/>
      <c r="T88" s="13"/>
      <c r="U88" s="13"/>
    </row>
    <row r="89">
      <c r="A89" s="11">
        <v>45014.0</v>
      </c>
      <c r="S89" s="12"/>
      <c r="T89" s="13"/>
      <c r="U89" s="13"/>
    </row>
    <row r="90">
      <c r="A90" s="11">
        <v>45015.0</v>
      </c>
      <c r="S90" s="12"/>
      <c r="T90" s="13"/>
      <c r="U90" s="13"/>
    </row>
    <row r="91">
      <c r="A91" s="11">
        <v>45016.0</v>
      </c>
      <c r="S91" s="12"/>
      <c r="T91" s="13"/>
      <c r="U91" s="13"/>
    </row>
    <row r="92">
      <c r="A92" s="11">
        <v>45017.0</v>
      </c>
      <c r="S92" s="12"/>
      <c r="T92" s="13"/>
      <c r="U92" s="13"/>
    </row>
    <row r="93">
      <c r="A93" s="11">
        <v>45018.0</v>
      </c>
      <c r="S93" s="12"/>
      <c r="T93" s="13"/>
      <c r="U93" s="13"/>
    </row>
    <row r="94">
      <c r="A94" s="11">
        <v>45019.0</v>
      </c>
      <c r="S94" s="12"/>
      <c r="T94" s="13"/>
      <c r="U94" s="13"/>
    </row>
    <row r="95">
      <c r="A95" s="11">
        <v>45020.0</v>
      </c>
      <c r="S95" s="12"/>
      <c r="T95" s="13"/>
      <c r="U95" s="13"/>
    </row>
    <row r="96">
      <c r="A96" s="11">
        <v>45021.0</v>
      </c>
      <c r="S96" s="12"/>
      <c r="T96" s="13"/>
      <c r="U96" s="13"/>
    </row>
    <row r="97">
      <c r="A97" s="11">
        <v>45022.0</v>
      </c>
      <c r="S97" s="12"/>
      <c r="T97" s="13"/>
      <c r="U97" s="13"/>
    </row>
    <row r="98">
      <c r="A98" s="11">
        <v>45023.0</v>
      </c>
      <c r="S98" s="12"/>
      <c r="T98" s="13"/>
      <c r="U98" s="13"/>
    </row>
    <row r="99">
      <c r="A99" s="11">
        <v>45024.0</v>
      </c>
      <c r="S99" s="12"/>
      <c r="T99" s="13"/>
      <c r="U99" s="13"/>
    </row>
    <row r="100">
      <c r="A100" s="11">
        <v>45025.0</v>
      </c>
      <c r="S100" s="12"/>
      <c r="T100" s="13"/>
      <c r="U100" s="13"/>
    </row>
    <row r="101">
      <c r="A101" s="11">
        <v>45026.0</v>
      </c>
      <c r="S101" s="12"/>
      <c r="T101" s="13"/>
      <c r="U101" s="13"/>
    </row>
    <row r="102">
      <c r="A102" s="11">
        <v>45027.0</v>
      </c>
      <c r="S102" s="12"/>
      <c r="T102" s="13"/>
      <c r="U102" s="13"/>
    </row>
    <row r="103">
      <c r="A103" s="11">
        <v>45028.0</v>
      </c>
      <c r="S103" s="12"/>
      <c r="T103" s="13"/>
      <c r="U103" s="13"/>
    </row>
    <row r="104">
      <c r="A104" s="11">
        <v>45029.0</v>
      </c>
      <c r="S104" s="12"/>
      <c r="T104" s="13"/>
      <c r="U104" s="13"/>
    </row>
    <row r="105">
      <c r="A105" s="11">
        <v>45030.0</v>
      </c>
      <c r="S105" s="12"/>
      <c r="T105" s="13"/>
      <c r="U105" s="13"/>
    </row>
    <row r="106">
      <c r="A106" s="11">
        <v>45031.0</v>
      </c>
      <c r="S106" s="12"/>
      <c r="T106" s="13"/>
      <c r="U106" s="13"/>
    </row>
    <row r="107">
      <c r="A107" s="11">
        <v>45032.0</v>
      </c>
      <c r="S107" s="12"/>
      <c r="T107" s="13"/>
      <c r="U107" s="13"/>
    </row>
    <row r="108">
      <c r="A108" s="11">
        <v>45033.0</v>
      </c>
      <c r="S108" s="12"/>
      <c r="T108" s="13"/>
      <c r="U108" s="13"/>
    </row>
    <row r="109">
      <c r="A109" s="11">
        <v>45034.0</v>
      </c>
      <c r="S109" s="12"/>
      <c r="T109" s="13"/>
      <c r="U109" s="13"/>
    </row>
    <row r="110">
      <c r="A110" s="11">
        <v>45035.0</v>
      </c>
      <c r="S110" s="14">
        <v>4.02</v>
      </c>
      <c r="T110" s="13"/>
      <c r="U110" s="13"/>
    </row>
    <row r="111">
      <c r="A111" s="11">
        <v>45036.0</v>
      </c>
      <c r="S111" s="12"/>
      <c r="T111" s="13"/>
      <c r="U111" s="13"/>
    </row>
    <row r="112">
      <c r="A112" s="11">
        <v>45037.0</v>
      </c>
      <c r="S112" s="12"/>
      <c r="T112" s="13"/>
      <c r="U112" s="13"/>
    </row>
    <row r="113">
      <c r="A113" s="11">
        <v>45038.0</v>
      </c>
      <c r="S113" s="12"/>
      <c r="T113" s="13"/>
      <c r="U113" s="13"/>
    </row>
    <row r="114">
      <c r="A114" s="11">
        <v>45039.0</v>
      </c>
      <c r="S114" s="12"/>
      <c r="T114" s="13"/>
      <c r="U114" s="13"/>
    </row>
    <row r="115">
      <c r="A115" s="11">
        <v>45040.0</v>
      </c>
      <c r="S115" s="12"/>
      <c r="T115" s="13"/>
      <c r="U115" s="13"/>
    </row>
    <row r="116">
      <c r="A116" s="11">
        <v>45041.0</v>
      </c>
      <c r="S116" s="12"/>
      <c r="T116" s="13"/>
      <c r="U116" s="13"/>
    </row>
    <row r="117">
      <c r="A117" s="11">
        <v>45042.0</v>
      </c>
      <c r="S117" s="12"/>
      <c r="T117" s="13"/>
      <c r="U117" s="13"/>
    </row>
    <row r="118">
      <c r="A118" s="11">
        <v>45043.0</v>
      </c>
      <c r="S118" s="12"/>
      <c r="T118" s="13"/>
      <c r="U118" s="13"/>
    </row>
    <row r="119">
      <c r="A119" s="11">
        <v>45044.0</v>
      </c>
      <c r="S119" s="12"/>
      <c r="T119" s="13"/>
      <c r="U119" s="13"/>
    </row>
    <row r="120">
      <c r="A120" s="11">
        <v>45045.0</v>
      </c>
      <c r="S120" s="12"/>
      <c r="T120" s="13"/>
      <c r="U120" s="13"/>
    </row>
    <row r="121">
      <c r="A121" s="11">
        <v>45046.0</v>
      </c>
      <c r="S121" s="12"/>
      <c r="T121" s="13"/>
      <c r="U121" s="13"/>
    </row>
    <row r="122">
      <c r="A122" s="11">
        <v>45047.0</v>
      </c>
      <c r="S122" s="12"/>
      <c r="T122" s="13"/>
      <c r="U122" s="13"/>
    </row>
    <row r="123">
      <c r="A123" s="11">
        <v>45048.0</v>
      </c>
      <c r="S123" s="12"/>
      <c r="T123" s="13"/>
      <c r="U123" s="13"/>
    </row>
    <row r="124">
      <c r="A124" s="11">
        <v>45049.0</v>
      </c>
      <c r="S124" s="12"/>
      <c r="T124" s="13"/>
      <c r="U124" s="13"/>
    </row>
    <row r="125">
      <c r="A125" s="11">
        <v>45050.0</v>
      </c>
      <c r="S125" s="12"/>
      <c r="T125" s="13"/>
      <c r="U125" s="13"/>
    </row>
    <row r="126">
      <c r="A126" s="11">
        <v>45051.0</v>
      </c>
      <c r="S126" s="12"/>
      <c r="T126" s="13"/>
      <c r="U126" s="13"/>
    </row>
    <row r="127">
      <c r="A127" s="11">
        <v>45052.0</v>
      </c>
      <c r="S127" s="12"/>
      <c r="T127" s="13"/>
      <c r="U127" s="13"/>
    </row>
    <row r="128">
      <c r="A128" s="11">
        <v>45053.0</v>
      </c>
      <c r="S128" s="12"/>
      <c r="T128" s="13"/>
      <c r="U128" s="13"/>
    </row>
    <row r="129">
      <c r="A129" s="11">
        <v>45054.0</v>
      </c>
      <c r="S129" s="12"/>
      <c r="T129" s="13"/>
      <c r="U129" s="13"/>
    </row>
    <row r="130">
      <c r="A130" s="11">
        <v>45055.0</v>
      </c>
      <c r="S130" s="12"/>
      <c r="T130" s="13"/>
      <c r="U130" s="13"/>
    </row>
    <row r="131">
      <c r="A131" s="11">
        <v>45056.0</v>
      </c>
      <c r="S131" s="12"/>
      <c r="T131" s="13"/>
      <c r="U131" s="13"/>
    </row>
    <row r="132">
      <c r="A132" s="11">
        <v>45057.0</v>
      </c>
      <c r="S132" s="12"/>
      <c r="T132" s="13"/>
      <c r="U132" s="13"/>
    </row>
    <row r="133">
      <c r="A133" s="11">
        <v>45058.0</v>
      </c>
      <c r="S133" s="12"/>
      <c r="T133" s="13"/>
      <c r="U133" s="13"/>
    </row>
    <row r="134">
      <c r="A134" s="11">
        <v>45059.0</v>
      </c>
      <c r="S134" s="12"/>
      <c r="T134" s="13"/>
      <c r="U134" s="13"/>
    </row>
    <row r="135">
      <c r="A135" s="11">
        <v>45060.0</v>
      </c>
      <c r="S135" s="12"/>
      <c r="T135" s="13"/>
      <c r="U135" s="13"/>
    </row>
    <row r="136">
      <c r="A136" s="11">
        <v>45061.0</v>
      </c>
      <c r="S136" s="12"/>
      <c r="T136" s="13"/>
      <c r="U136" s="13"/>
    </row>
    <row r="137">
      <c r="A137" s="11">
        <v>45062.0</v>
      </c>
      <c r="S137" s="12"/>
      <c r="T137" s="13"/>
      <c r="U137" s="13"/>
    </row>
    <row r="138">
      <c r="A138" s="11">
        <v>45063.0</v>
      </c>
      <c r="S138" s="12"/>
      <c r="T138" s="13"/>
      <c r="U138" s="13"/>
    </row>
    <row r="139">
      <c r="A139" s="11">
        <v>45064.0</v>
      </c>
      <c r="S139" s="12"/>
      <c r="T139" s="13"/>
      <c r="U139" s="13"/>
    </row>
    <row r="140">
      <c r="A140" s="11">
        <v>45065.0</v>
      </c>
      <c r="S140" s="14">
        <v>7.82</v>
      </c>
      <c r="T140" s="15" t="s">
        <v>27</v>
      </c>
      <c r="U140" s="13"/>
    </row>
    <row r="141">
      <c r="A141" s="11">
        <v>45066.0</v>
      </c>
      <c r="S141" s="12"/>
      <c r="T141" s="13"/>
      <c r="U141" s="13"/>
    </row>
    <row r="142">
      <c r="A142" s="11">
        <v>45067.0</v>
      </c>
      <c r="S142" s="12"/>
      <c r="T142" s="13"/>
      <c r="U142" s="13"/>
    </row>
    <row r="143">
      <c r="A143" s="11">
        <v>45068.0</v>
      </c>
      <c r="S143" s="12"/>
      <c r="T143" s="13"/>
      <c r="U143" s="13"/>
    </row>
    <row r="144">
      <c r="A144" s="11">
        <v>45069.0</v>
      </c>
      <c r="S144" s="14">
        <v>20.36</v>
      </c>
      <c r="T144" s="15" t="s">
        <v>28</v>
      </c>
      <c r="U144" s="13"/>
    </row>
    <row r="145">
      <c r="A145" s="11">
        <v>45070.0</v>
      </c>
      <c r="S145" s="12"/>
      <c r="T145" s="13"/>
      <c r="U145" s="13"/>
    </row>
    <row r="146">
      <c r="A146" s="11">
        <v>45071.0</v>
      </c>
      <c r="S146" s="12"/>
      <c r="T146" s="13"/>
      <c r="U146" s="13"/>
    </row>
    <row r="147">
      <c r="A147" s="11">
        <v>45072.0</v>
      </c>
      <c r="S147" s="12"/>
      <c r="T147" s="13"/>
      <c r="U147" s="13"/>
    </row>
    <row r="148">
      <c r="A148" s="11">
        <v>45073.0</v>
      </c>
      <c r="S148" s="12"/>
      <c r="T148" s="13"/>
      <c r="U148" s="13"/>
    </row>
    <row r="149">
      <c r="A149" s="11">
        <v>45074.0</v>
      </c>
      <c r="S149" s="12"/>
      <c r="T149" s="13"/>
      <c r="U149" s="13"/>
    </row>
    <row r="150">
      <c r="A150" s="11">
        <v>45075.0</v>
      </c>
      <c r="S150" s="12"/>
      <c r="T150" s="13"/>
      <c r="U150" s="13"/>
    </row>
    <row r="151">
      <c r="A151" s="11">
        <v>45076.0</v>
      </c>
      <c r="S151" s="12"/>
      <c r="T151" s="13"/>
      <c r="U151" s="13"/>
    </row>
    <row r="152">
      <c r="A152" s="11">
        <v>45077.0</v>
      </c>
      <c r="S152" s="12"/>
      <c r="T152" s="13"/>
      <c r="U152" s="13"/>
    </row>
    <row r="153">
      <c r="A153" s="11">
        <v>45078.0</v>
      </c>
      <c r="S153" s="12"/>
      <c r="T153" s="13"/>
      <c r="U153" s="13"/>
    </row>
    <row r="154">
      <c r="A154" s="11">
        <v>45079.0</v>
      </c>
      <c r="S154" s="12"/>
      <c r="T154" s="13"/>
      <c r="U154" s="13"/>
    </row>
    <row r="155">
      <c r="A155" s="11">
        <v>45080.0</v>
      </c>
      <c r="S155" s="12"/>
      <c r="T155" s="13"/>
      <c r="U155" s="13"/>
    </row>
    <row r="156">
      <c r="A156" s="11">
        <v>45081.0</v>
      </c>
      <c r="S156" s="12"/>
      <c r="T156" s="13"/>
      <c r="U156" s="13"/>
    </row>
    <row r="157">
      <c r="A157" s="11">
        <v>45082.0</v>
      </c>
      <c r="S157" s="14">
        <v>31.91</v>
      </c>
      <c r="T157" s="15" t="s">
        <v>28</v>
      </c>
      <c r="U157" s="13"/>
    </row>
    <row r="158">
      <c r="A158" s="11">
        <v>45083.0</v>
      </c>
      <c r="S158" s="12"/>
      <c r="T158" s="13"/>
      <c r="U158" s="13"/>
    </row>
    <row r="159">
      <c r="A159" s="11">
        <v>45084.0</v>
      </c>
      <c r="S159" s="12"/>
      <c r="T159" s="13"/>
      <c r="U159" s="13"/>
    </row>
    <row r="160">
      <c r="A160" s="11">
        <v>45085.0</v>
      </c>
      <c r="S160" s="12"/>
      <c r="T160" s="13"/>
      <c r="U160" s="13"/>
    </row>
    <row r="161">
      <c r="A161" s="11">
        <v>45086.0</v>
      </c>
      <c r="S161" s="12"/>
      <c r="T161" s="13"/>
      <c r="U161" s="13"/>
    </row>
    <row r="162">
      <c r="A162" s="11">
        <v>45087.0</v>
      </c>
      <c r="S162" s="12"/>
      <c r="T162" s="13"/>
      <c r="U162" s="13"/>
    </row>
    <row r="163">
      <c r="A163" s="11">
        <v>45088.0</v>
      </c>
      <c r="S163" s="12"/>
      <c r="T163" s="13"/>
      <c r="U163" s="13"/>
    </row>
    <row r="164">
      <c r="A164" s="11">
        <v>45089.0</v>
      </c>
      <c r="S164" s="12"/>
      <c r="T164" s="13"/>
      <c r="U164" s="13"/>
    </row>
    <row r="165">
      <c r="A165" s="11">
        <v>45090.0</v>
      </c>
      <c r="S165" s="12"/>
      <c r="T165" s="13"/>
      <c r="U165" s="13"/>
    </row>
    <row r="166">
      <c r="A166" s="11">
        <v>45091.0</v>
      </c>
      <c r="S166" s="14">
        <v>25.9</v>
      </c>
      <c r="T166" s="15" t="s">
        <v>29</v>
      </c>
      <c r="U166" s="13"/>
    </row>
    <row r="167">
      <c r="A167" s="11">
        <v>45092.0</v>
      </c>
      <c r="S167" s="12"/>
      <c r="T167" s="13"/>
      <c r="U167" s="13"/>
    </row>
    <row r="168">
      <c r="A168" s="11">
        <v>45093.0</v>
      </c>
      <c r="S168" s="12"/>
      <c r="T168" s="13"/>
      <c r="U168" s="13"/>
    </row>
    <row r="169">
      <c r="A169" s="11">
        <v>45094.0</v>
      </c>
      <c r="S169" s="12"/>
      <c r="T169" s="13"/>
      <c r="U169" s="13"/>
    </row>
    <row r="170">
      <c r="A170" s="11">
        <v>45095.0</v>
      </c>
      <c r="S170" s="12"/>
      <c r="T170" s="13"/>
      <c r="U170" s="13"/>
    </row>
    <row r="171">
      <c r="A171" s="11">
        <v>45096.0</v>
      </c>
      <c r="S171" s="14">
        <v>7.82</v>
      </c>
      <c r="T171" s="13"/>
      <c r="U171" s="13"/>
    </row>
    <row r="172">
      <c r="A172" s="11">
        <v>45097.0</v>
      </c>
      <c r="S172" s="12"/>
      <c r="T172" s="13"/>
      <c r="U172" s="13"/>
    </row>
    <row r="173">
      <c r="A173" s="11">
        <v>45098.0</v>
      </c>
      <c r="S173" s="12"/>
      <c r="T173" s="13"/>
      <c r="U173" s="13"/>
    </row>
    <row r="174">
      <c r="A174" s="11">
        <v>45099.0</v>
      </c>
      <c r="S174" s="12"/>
      <c r="T174" s="13"/>
      <c r="U174" s="13"/>
    </row>
    <row r="175">
      <c r="A175" s="11">
        <v>45100.0</v>
      </c>
      <c r="S175" s="12"/>
      <c r="T175" s="13"/>
      <c r="U175" s="13"/>
    </row>
    <row r="176">
      <c r="A176" s="11">
        <v>45101.0</v>
      </c>
      <c r="S176" s="12"/>
      <c r="T176" s="13"/>
      <c r="U176" s="13"/>
    </row>
    <row r="177">
      <c r="A177" s="11">
        <v>45102.0</v>
      </c>
      <c r="S177" s="12"/>
      <c r="T177" s="13"/>
      <c r="U177" s="13"/>
    </row>
    <row r="178">
      <c r="A178" s="11">
        <v>45103.0</v>
      </c>
      <c r="S178" s="14">
        <v>6.16</v>
      </c>
      <c r="T178" s="13"/>
      <c r="U178" s="13"/>
    </row>
    <row r="179">
      <c r="A179" s="11">
        <v>45104.0</v>
      </c>
      <c r="S179" s="12"/>
      <c r="T179" s="13"/>
      <c r="U179" s="13"/>
    </row>
    <row r="180">
      <c r="A180" s="11">
        <v>45105.0</v>
      </c>
      <c r="S180" s="12"/>
      <c r="T180" s="13"/>
      <c r="U180" s="13"/>
    </row>
    <row r="181">
      <c r="A181" s="11">
        <v>45106.0</v>
      </c>
      <c r="S181" s="12"/>
      <c r="T181" s="13"/>
      <c r="U181" s="13"/>
    </row>
    <row r="182">
      <c r="A182" s="11">
        <v>45107.0</v>
      </c>
      <c r="S182" s="12"/>
      <c r="T182" s="13"/>
      <c r="U182" s="13"/>
    </row>
    <row r="183">
      <c r="A183" s="11">
        <v>45108.0</v>
      </c>
      <c r="S183" s="12"/>
      <c r="T183" s="13"/>
      <c r="U183" s="13"/>
    </row>
    <row r="184">
      <c r="A184" s="11">
        <v>45109.0</v>
      </c>
      <c r="S184" s="12"/>
      <c r="T184" s="13"/>
      <c r="U184" s="13"/>
    </row>
    <row r="185">
      <c r="A185" s="11">
        <v>45110.0</v>
      </c>
      <c r="S185" s="12"/>
      <c r="T185" s="13"/>
      <c r="U185" s="13"/>
    </row>
    <row r="186">
      <c r="A186" s="11">
        <v>45111.0</v>
      </c>
      <c r="S186" s="12"/>
      <c r="T186" s="13"/>
      <c r="U186" s="13"/>
    </row>
    <row r="187">
      <c r="A187" s="11">
        <v>45112.0</v>
      </c>
      <c r="S187" s="14">
        <v>10.32</v>
      </c>
      <c r="T187" s="15" t="s">
        <v>30</v>
      </c>
      <c r="U187" s="13"/>
    </row>
    <row r="188">
      <c r="A188" s="11">
        <v>45113.0</v>
      </c>
      <c r="S188" s="12"/>
      <c r="T188" s="13"/>
      <c r="U188" s="13"/>
    </row>
    <row r="189">
      <c r="A189" s="11">
        <v>45114.0</v>
      </c>
      <c r="S189" s="12"/>
      <c r="T189" s="13"/>
      <c r="U189" s="13"/>
    </row>
    <row r="190">
      <c r="A190" s="11">
        <v>45115.0</v>
      </c>
      <c r="S190" s="12"/>
      <c r="T190" s="13"/>
      <c r="U190" s="13"/>
    </row>
    <row r="191">
      <c r="A191" s="11">
        <v>45116.0</v>
      </c>
      <c r="S191" s="12"/>
      <c r="T191" s="13"/>
      <c r="U191" s="13"/>
    </row>
    <row r="192">
      <c r="A192" s="11">
        <v>45117.0</v>
      </c>
      <c r="S192" s="14">
        <v>8.08</v>
      </c>
      <c r="T192" s="15" t="s">
        <v>31</v>
      </c>
      <c r="U192" s="13"/>
    </row>
    <row r="193">
      <c r="A193" s="11">
        <v>45118.0</v>
      </c>
      <c r="S193" s="12"/>
      <c r="T193" s="13"/>
      <c r="U193" s="13"/>
    </row>
    <row r="194">
      <c r="A194" s="11">
        <v>45119.0</v>
      </c>
      <c r="S194" s="12"/>
      <c r="T194" s="13"/>
      <c r="U194" s="13"/>
    </row>
    <row r="195">
      <c r="A195" s="11">
        <v>45120.0</v>
      </c>
      <c r="S195" s="12"/>
      <c r="T195" s="13"/>
      <c r="U195" s="13"/>
    </row>
    <row r="196">
      <c r="A196" s="11">
        <v>45121.0</v>
      </c>
      <c r="S196" s="12"/>
      <c r="T196" s="13"/>
      <c r="U196" s="13"/>
    </row>
    <row r="197">
      <c r="A197" s="11">
        <v>45122.0</v>
      </c>
      <c r="S197" s="12"/>
      <c r="T197" s="13"/>
      <c r="U197" s="13"/>
    </row>
    <row r="198">
      <c r="A198" s="11">
        <v>45123.0</v>
      </c>
      <c r="S198" s="12"/>
      <c r="T198" s="13"/>
      <c r="U198" s="13"/>
    </row>
    <row r="199">
      <c r="A199" s="11">
        <v>45124.0</v>
      </c>
      <c r="S199" s="14">
        <v>6.1</v>
      </c>
      <c r="T199" s="15" t="s">
        <v>32</v>
      </c>
      <c r="U199" s="13"/>
    </row>
    <row r="200">
      <c r="A200" s="11">
        <v>45125.0</v>
      </c>
      <c r="S200" s="12"/>
      <c r="T200" s="13"/>
      <c r="U200" s="13"/>
    </row>
    <row r="201">
      <c r="A201" s="11">
        <v>45126.0</v>
      </c>
      <c r="S201" s="12"/>
      <c r="T201" s="13"/>
      <c r="U201" s="13"/>
    </row>
    <row r="202">
      <c r="A202" s="11">
        <v>45127.0</v>
      </c>
      <c r="S202" s="12"/>
      <c r="T202" s="13"/>
      <c r="U202" s="13"/>
    </row>
    <row r="203">
      <c r="A203" s="11">
        <v>45128.0</v>
      </c>
      <c r="S203" s="12"/>
      <c r="T203" s="13"/>
      <c r="U203" s="13"/>
    </row>
    <row r="204">
      <c r="A204" s="11">
        <v>45129.0</v>
      </c>
      <c r="S204" s="12"/>
      <c r="T204" s="13"/>
      <c r="U204" s="13"/>
    </row>
    <row r="205">
      <c r="A205" s="11">
        <v>45130.0</v>
      </c>
      <c r="S205" s="12"/>
      <c r="T205" s="13"/>
      <c r="U205" s="13"/>
    </row>
    <row r="206">
      <c r="A206" s="11">
        <v>45131.0</v>
      </c>
      <c r="S206" s="12"/>
      <c r="T206" s="13"/>
      <c r="U206" s="13"/>
    </row>
    <row r="207">
      <c r="A207" s="11">
        <v>45132.0</v>
      </c>
      <c r="S207" s="12"/>
      <c r="T207" s="13"/>
      <c r="U207" s="13"/>
    </row>
    <row r="208">
      <c r="A208" s="11">
        <v>45133.0</v>
      </c>
      <c r="S208" s="14">
        <v>7.06</v>
      </c>
      <c r="T208" s="13"/>
      <c r="U208" s="13"/>
    </row>
    <row r="209">
      <c r="A209" s="11">
        <v>45134.0</v>
      </c>
      <c r="S209" s="12"/>
      <c r="T209" s="13"/>
      <c r="U209" s="13"/>
    </row>
    <row r="210">
      <c r="A210" s="11">
        <v>45135.0</v>
      </c>
      <c r="S210" s="12"/>
      <c r="T210" s="13"/>
      <c r="U210" s="13"/>
    </row>
    <row r="211">
      <c r="A211" s="11">
        <v>45136.0</v>
      </c>
      <c r="S211" s="12"/>
      <c r="T211" s="13"/>
      <c r="U211" s="13"/>
    </row>
    <row r="212">
      <c r="A212" s="11">
        <v>45137.0</v>
      </c>
      <c r="S212" s="12"/>
      <c r="T212" s="13"/>
      <c r="U212" s="13"/>
    </row>
    <row r="213">
      <c r="A213" s="11">
        <v>45138.0</v>
      </c>
      <c r="S213" s="12"/>
      <c r="T213" s="13"/>
      <c r="U213" s="13"/>
    </row>
    <row r="214">
      <c r="A214" s="11">
        <v>45139.0</v>
      </c>
      <c r="S214" s="14">
        <v>9.7</v>
      </c>
      <c r="T214" s="16" t="s">
        <v>33</v>
      </c>
      <c r="U214" s="13"/>
    </row>
    <row r="215">
      <c r="A215" s="11">
        <v>45140.0</v>
      </c>
      <c r="S215" s="12"/>
      <c r="T215" s="13"/>
      <c r="U215" s="13"/>
    </row>
    <row r="216">
      <c r="A216" s="11">
        <v>45141.0</v>
      </c>
      <c r="S216" s="12"/>
      <c r="T216" s="13"/>
      <c r="U216" s="13"/>
    </row>
    <row r="217">
      <c r="A217" s="11">
        <v>45142.0</v>
      </c>
      <c r="S217" s="12"/>
      <c r="T217" s="13"/>
      <c r="U217" s="13"/>
    </row>
    <row r="218">
      <c r="A218" s="11">
        <v>45143.0</v>
      </c>
      <c r="S218" s="12"/>
      <c r="T218" s="13"/>
      <c r="U218" s="13"/>
    </row>
    <row r="219">
      <c r="A219" s="11">
        <v>45144.0</v>
      </c>
      <c r="S219" s="12"/>
      <c r="T219" s="13"/>
      <c r="U219" s="13"/>
    </row>
    <row r="220">
      <c r="A220" s="11">
        <v>45145.0</v>
      </c>
      <c r="S220" s="12"/>
      <c r="T220" s="13"/>
      <c r="U220" s="13"/>
    </row>
    <row r="221">
      <c r="A221" s="11">
        <v>45146.0</v>
      </c>
      <c r="S221" s="14">
        <v>10.0</v>
      </c>
      <c r="T221" s="15" t="s">
        <v>34</v>
      </c>
      <c r="U221" s="13"/>
    </row>
    <row r="222">
      <c r="A222" s="11">
        <v>45147.0</v>
      </c>
      <c r="S222" s="12"/>
      <c r="T222" s="13"/>
      <c r="U222" s="13"/>
    </row>
    <row r="223">
      <c r="A223" s="11">
        <v>45148.0</v>
      </c>
      <c r="S223" s="12"/>
      <c r="T223" s="13"/>
      <c r="U223" s="13"/>
    </row>
    <row r="224">
      <c r="A224" s="11">
        <v>45149.0</v>
      </c>
      <c r="S224" s="12"/>
      <c r="T224" s="13"/>
      <c r="U224" s="13"/>
    </row>
    <row r="225">
      <c r="A225" s="11">
        <v>45150.0</v>
      </c>
      <c r="S225" s="12"/>
      <c r="T225" s="13"/>
      <c r="U225" s="13"/>
    </row>
    <row r="226">
      <c r="A226" s="11">
        <v>45151.0</v>
      </c>
      <c r="S226" s="12"/>
      <c r="T226" s="13"/>
      <c r="U226" s="13"/>
    </row>
    <row r="227">
      <c r="A227" s="11">
        <v>45152.0</v>
      </c>
      <c r="S227" s="12"/>
      <c r="T227" s="13"/>
      <c r="U227" s="13"/>
    </row>
    <row r="228">
      <c r="A228" s="11">
        <v>45153.0</v>
      </c>
      <c r="S228" s="12"/>
      <c r="T228" s="13"/>
      <c r="U228" s="13"/>
    </row>
    <row r="229">
      <c r="A229" s="11">
        <v>45154.0</v>
      </c>
      <c r="S229" s="12"/>
      <c r="T229" s="13"/>
      <c r="U229" s="13"/>
    </row>
    <row r="230">
      <c r="A230" s="11">
        <v>45155.0</v>
      </c>
      <c r="S230" s="14">
        <v>8.51</v>
      </c>
      <c r="T230" s="15" t="s">
        <v>35</v>
      </c>
      <c r="U230" s="13"/>
    </row>
    <row r="231">
      <c r="A231" s="11">
        <v>45156.0</v>
      </c>
      <c r="S231" s="12"/>
      <c r="T231" s="13"/>
      <c r="U231" s="13"/>
    </row>
    <row r="232">
      <c r="A232" s="11">
        <v>45157.0</v>
      </c>
      <c r="S232" s="12"/>
      <c r="T232" s="13"/>
      <c r="U232" s="13"/>
    </row>
    <row r="233">
      <c r="A233" s="11">
        <v>45158.0</v>
      </c>
      <c r="S233" s="12"/>
      <c r="T233" s="13"/>
      <c r="U233" s="13"/>
    </row>
    <row r="234">
      <c r="A234" s="11">
        <v>45159.0</v>
      </c>
      <c r="S234" s="14">
        <v>7.12</v>
      </c>
      <c r="T234" s="15" t="s">
        <v>36</v>
      </c>
      <c r="U234" s="13"/>
    </row>
    <row r="235">
      <c r="A235" s="11">
        <v>45160.0</v>
      </c>
      <c r="S235" s="12"/>
      <c r="T235" s="13"/>
      <c r="U235" s="13"/>
    </row>
    <row r="236">
      <c r="A236" s="11">
        <v>45161.0</v>
      </c>
      <c r="S236" s="12"/>
      <c r="T236" s="13"/>
      <c r="U236" s="13"/>
    </row>
    <row r="237">
      <c r="A237" s="11">
        <v>45162.0</v>
      </c>
      <c r="S237" s="12"/>
      <c r="T237" s="13"/>
      <c r="U237" s="13"/>
    </row>
    <row r="238">
      <c r="A238" s="11">
        <v>45163.0</v>
      </c>
      <c r="S238" s="12"/>
      <c r="T238" s="13"/>
      <c r="U238" s="13"/>
    </row>
    <row r="239">
      <c r="A239" s="11">
        <v>45164.0</v>
      </c>
      <c r="S239" s="12"/>
      <c r="T239" s="13"/>
      <c r="U239" s="13"/>
    </row>
    <row r="240">
      <c r="A240" s="11">
        <v>45165.0</v>
      </c>
      <c r="S240" s="12"/>
      <c r="T240" s="13"/>
      <c r="U240" s="13"/>
    </row>
    <row r="241">
      <c r="A241" s="11">
        <v>45166.0</v>
      </c>
      <c r="S241" s="12"/>
      <c r="T241" s="13"/>
      <c r="U241" s="13"/>
    </row>
    <row r="242">
      <c r="A242" s="11">
        <v>45167.0</v>
      </c>
      <c r="S242" s="12"/>
      <c r="T242" s="13"/>
      <c r="U242" s="13"/>
    </row>
    <row r="243">
      <c r="A243" s="11">
        <v>45168.0</v>
      </c>
      <c r="S243" s="12"/>
      <c r="T243" s="13"/>
      <c r="U243" s="13"/>
    </row>
    <row r="244">
      <c r="A244" s="11">
        <v>45169.0</v>
      </c>
      <c r="S244" s="12"/>
      <c r="T244" s="13"/>
      <c r="U244" s="13"/>
    </row>
    <row r="245">
      <c r="A245" s="11">
        <v>45170.0</v>
      </c>
      <c r="S245" s="12"/>
      <c r="T245" s="13"/>
      <c r="U245" s="13"/>
    </row>
    <row r="246">
      <c r="A246" s="11">
        <v>45171.0</v>
      </c>
      <c r="S246" s="12"/>
      <c r="T246" s="13"/>
      <c r="U246" s="13"/>
    </row>
    <row r="247">
      <c r="A247" s="11">
        <v>45172.0</v>
      </c>
      <c r="S247" s="12"/>
      <c r="T247" s="13"/>
      <c r="U247" s="13"/>
    </row>
    <row r="248">
      <c r="A248" s="11">
        <v>45173.0</v>
      </c>
      <c r="S248" s="12"/>
      <c r="T248" s="13"/>
      <c r="U248" s="13"/>
    </row>
    <row r="249">
      <c r="A249" s="11">
        <v>45174.0</v>
      </c>
      <c r="S249" s="12"/>
      <c r="T249" s="13"/>
      <c r="U249" s="13"/>
    </row>
    <row r="250">
      <c r="A250" s="11">
        <v>45175.0</v>
      </c>
      <c r="S250" s="12"/>
      <c r="T250" s="13"/>
      <c r="U250" s="13"/>
    </row>
    <row r="251">
      <c r="A251" s="11">
        <v>45176.0</v>
      </c>
      <c r="S251" s="12"/>
      <c r="T251" s="13"/>
      <c r="U251" s="13"/>
    </row>
    <row r="252">
      <c r="A252" s="11">
        <v>45177.0</v>
      </c>
      <c r="S252" s="12"/>
      <c r="T252" s="13"/>
      <c r="U252" s="13"/>
    </row>
    <row r="253">
      <c r="A253" s="11">
        <v>45178.0</v>
      </c>
      <c r="S253" s="12"/>
      <c r="T253" s="13"/>
      <c r="U253" s="13"/>
    </row>
    <row r="254">
      <c r="A254" s="11">
        <v>45179.0</v>
      </c>
      <c r="S254" s="12"/>
      <c r="T254" s="13"/>
      <c r="U254" s="13"/>
    </row>
    <row r="255">
      <c r="A255" s="11">
        <v>45180.0</v>
      </c>
      <c r="S255" s="14">
        <v>7.94</v>
      </c>
      <c r="T255" s="15" t="s">
        <v>37</v>
      </c>
      <c r="U255" s="13"/>
    </row>
    <row r="256">
      <c r="A256" s="11">
        <v>45181.0</v>
      </c>
      <c r="S256" s="12"/>
      <c r="T256" s="13"/>
      <c r="U256" s="13"/>
    </row>
    <row r="257">
      <c r="A257" s="11">
        <v>45182.0</v>
      </c>
      <c r="S257" s="12"/>
      <c r="T257" s="13"/>
      <c r="U257" s="13"/>
    </row>
    <row r="258">
      <c r="A258" s="11">
        <v>45183.0</v>
      </c>
      <c r="S258" s="12"/>
      <c r="T258" s="13"/>
      <c r="U258" s="13"/>
    </row>
    <row r="259">
      <c r="A259" s="11">
        <v>45184.0</v>
      </c>
      <c r="S259" s="12"/>
      <c r="T259" s="13"/>
      <c r="U259" s="13"/>
    </row>
    <row r="260">
      <c r="A260" s="11">
        <v>45185.0</v>
      </c>
      <c r="S260" s="12"/>
      <c r="T260" s="13"/>
      <c r="U260" s="13"/>
    </row>
    <row r="261">
      <c r="A261" s="11">
        <v>45186.0</v>
      </c>
      <c r="S261" s="12"/>
      <c r="T261" s="13"/>
      <c r="U261" s="13"/>
    </row>
    <row r="262">
      <c r="A262" s="11">
        <v>45187.0</v>
      </c>
      <c r="S262" s="12"/>
      <c r="T262" s="13"/>
      <c r="U262" s="13"/>
    </row>
    <row r="263">
      <c r="A263" s="11">
        <v>45188.0</v>
      </c>
      <c r="S263" s="14">
        <v>10.16</v>
      </c>
      <c r="T263" s="13"/>
      <c r="U263" s="13"/>
    </row>
    <row r="264">
      <c r="A264" s="11">
        <v>45189.0</v>
      </c>
      <c r="S264" s="12"/>
      <c r="T264" s="13"/>
      <c r="U264" s="13"/>
    </row>
    <row r="265">
      <c r="A265" s="11">
        <v>45190.0</v>
      </c>
      <c r="S265" s="12"/>
      <c r="T265" s="13"/>
      <c r="U265" s="13"/>
    </row>
    <row r="266">
      <c r="A266" s="11">
        <v>45191.0</v>
      </c>
      <c r="S266" s="12"/>
      <c r="T266" s="13"/>
      <c r="U266" s="13"/>
    </row>
    <row r="267">
      <c r="A267" s="11">
        <v>45192.0</v>
      </c>
      <c r="S267" s="12"/>
      <c r="T267" s="13"/>
      <c r="U267" s="13"/>
    </row>
    <row r="268">
      <c r="A268" s="11">
        <v>45193.0</v>
      </c>
      <c r="S268" s="12"/>
      <c r="T268" s="13"/>
      <c r="U268" s="13"/>
    </row>
    <row r="269">
      <c r="A269" s="11">
        <v>45194.0</v>
      </c>
      <c r="S269" s="12"/>
      <c r="T269" s="13"/>
      <c r="U269" s="13"/>
    </row>
    <row r="270">
      <c r="A270" s="11">
        <v>45195.0</v>
      </c>
      <c r="S270" s="12"/>
      <c r="T270" s="13"/>
      <c r="U270" s="13"/>
    </row>
    <row r="271">
      <c r="A271" s="11">
        <v>45196.0</v>
      </c>
      <c r="S271" s="12"/>
      <c r="T271" s="13"/>
      <c r="U271" s="13"/>
    </row>
    <row r="272">
      <c r="A272" s="11">
        <v>45197.0</v>
      </c>
      <c r="S272" s="12"/>
      <c r="T272" s="13"/>
      <c r="U272" s="13"/>
    </row>
    <row r="273">
      <c r="A273" s="11">
        <v>45198.0</v>
      </c>
      <c r="S273" s="12"/>
      <c r="T273" s="13"/>
      <c r="U273" s="13"/>
    </row>
    <row r="274">
      <c r="A274" s="11">
        <v>45199.0</v>
      </c>
      <c r="S274" s="12"/>
      <c r="T274" s="13"/>
      <c r="U274" s="13"/>
    </row>
    <row r="275">
      <c r="A275" s="11">
        <v>45200.0</v>
      </c>
      <c r="S275" s="12"/>
      <c r="T275" s="13"/>
      <c r="U275" s="13"/>
    </row>
    <row r="276">
      <c r="A276" s="11">
        <v>45201.0</v>
      </c>
      <c r="S276" s="12"/>
      <c r="T276" s="13"/>
      <c r="U276" s="13"/>
    </row>
    <row r="277">
      <c r="A277" s="11">
        <v>45202.0</v>
      </c>
      <c r="S277" s="12"/>
      <c r="T277" s="13"/>
      <c r="U277" s="13"/>
    </row>
    <row r="278">
      <c r="A278" s="11">
        <v>45203.0</v>
      </c>
      <c r="S278" s="12"/>
      <c r="T278" s="13"/>
      <c r="U278" s="13"/>
    </row>
    <row r="279">
      <c r="A279" s="11">
        <v>45204.0</v>
      </c>
      <c r="S279" s="14">
        <v>21.6</v>
      </c>
      <c r="T279" s="15" t="s">
        <v>38</v>
      </c>
      <c r="U279" s="13"/>
    </row>
    <row r="280">
      <c r="A280" s="11">
        <v>45205.0</v>
      </c>
      <c r="S280" s="12"/>
      <c r="T280" s="15"/>
      <c r="U280" s="13"/>
    </row>
    <row r="281">
      <c r="A281" s="11">
        <v>45206.0</v>
      </c>
      <c r="S281" s="12"/>
      <c r="T281" s="15"/>
      <c r="U281" s="13"/>
    </row>
    <row r="282">
      <c r="A282" s="11">
        <v>45207.0</v>
      </c>
      <c r="S282" s="12"/>
      <c r="T282" s="13"/>
      <c r="U282" s="13"/>
    </row>
    <row r="283">
      <c r="A283" s="11">
        <v>45208.0</v>
      </c>
      <c r="S283" s="12"/>
      <c r="T283" s="13"/>
      <c r="U283" s="13"/>
    </row>
    <row r="284">
      <c r="A284" s="11">
        <v>45209.0</v>
      </c>
      <c r="S284" s="12"/>
      <c r="T284" s="13"/>
      <c r="U284" s="13"/>
    </row>
    <row r="285">
      <c r="A285" s="11">
        <v>45210.0</v>
      </c>
      <c r="S285" s="12"/>
      <c r="T285" s="13"/>
      <c r="U285" s="13"/>
    </row>
    <row r="286">
      <c r="A286" s="11">
        <v>45211.0</v>
      </c>
      <c r="S286" s="12"/>
      <c r="T286" s="13"/>
      <c r="U286" s="13"/>
    </row>
    <row r="287">
      <c r="A287" s="11">
        <v>45212.0</v>
      </c>
      <c r="S287" s="12"/>
      <c r="T287" s="13"/>
      <c r="U287" s="13"/>
    </row>
    <row r="288">
      <c r="A288" s="11">
        <v>45213.0</v>
      </c>
      <c r="S288" s="12"/>
      <c r="T288" s="13"/>
      <c r="U288" s="13"/>
    </row>
    <row r="289">
      <c r="A289" s="11">
        <v>45214.0</v>
      </c>
      <c r="S289" s="12"/>
      <c r="T289" s="13"/>
      <c r="U289" s="13"/>
    </row>
    <row r="290">
      <c r="A290" s="11">
        <v>45215.0</v>
      </c>
      <c r="S290" s="12"/>
      <c r="T290" s="13"/>
      <c r="U290" s="13"/>
    </row>
    <row r="291">
      <c r="A291" s="11">
        <v>45216.0</v>
      </c>
      <c r="S291" s="14">
        <v>6.8</v>
      </c>
      <c r="T291" s="13"/>
      <c r="U291" s="13"/>
    </row>
    <row r="292">
      <c r="A292" s="11">
        <v>45217.0</v>
      </c>
      <c r="S292" s="12"/>
      <c r="T292" s="13"/>
      <c r="U292" s="13"/>
    </row>
    <row r="293">
      <c r="A293" s="11">
        <v>45218.0</v>
      </c>
      <c r="S293" s="12"/>
      <c r="T293" s="13"/>
      <c r="U293" s="13"/>
    </row>
    <row r="294">
      <c r="A294" s="11">
        <v>45219.0</v>
      </c>
      <c r="S294" s="12"/>
      <c r="T294" s="13"/>
      <c r="U294" s="13"/>
    </row>
    <row r="295">
      <c r="A295" s="11">
        <v>45220.0</v>
      </c>
      <c r="S295" s="12"/>
      <c r="T295" s="13"/>
      <c r="U295" s="13"/>
    </row>
    <row r="296">
      <c r="A296" s="11">
        <v>45221.0</v>
      </c>
      <c r="S296" s="12"/>
      <c r="T296" s="13"/>
      <c r="U296" s="13"/>
    </row>
    <row r="297">
      <c r="A297" s="11">
        <v>45222.0</v>
      </c>
      <c r="S297" s="12"/>
      <c r="T297" s="13"/>
      <c r="U297" s="13"/>
    </row>
    <row r="298">
      <c r="A298" s="11">
        <v>45223.0</v>
      </c>
      <c r="S298" s="12"/>
      <c r="T298" s="13"/>
      <c r="U298" s="13"/>
    </row>
    <row r="299">
      <c r="A299" s="11">
        <v>45224.0</v>
      </c>
      <c r="S299" s="12"/>
      <c r="T299" s="13"/>
      <c r="U299" s="13"/>
    </row>
    <row r="300">
      <c r="A300" s="11">
        <v>45225.0</v>
      </c>
      <c r="S300" s="12"/>
      <c r="T300" s="13"/>
      <c r="U300" s="13"/>
    </row>
    <row r="301">
      <c r="A301" s="11">
        <v>45226.0</v>
      </c>
      <c r="S301" s="12"/>
      <c r="T301" s="13"/>
      <c r="U301" s="13"/>
    </row>
    <row r="302">
      <c r="A302" s="11">
        <v>45227.0</v>
      </c>
      <c r="S302" s="12"/>
      <c r="T302" s="13"/>
      <c r="U302" s="13"/>
    </row>
    <row r="303">
      <c r="A303" s="11">
        <v>45228.0</v>
      </c>
      <c r="S303" s="12"/>
      <c r="T303" s="13"/>
      <c r="U303" s="13"/>
    </row>
    <row r="304">
      <c r="A304" s="11">
        <v>45229.0</v>
      </c>
      <c r="S304" s="12"/>
      <c r="T304" s="13"/>
      <c r="U304" s="13"/>
    </row>
    <row r="305">
      <c r="A305" s="11">
        <v>45230.0</v>
      </c>
      <c r="S305" s="12"/>
      <c r="T305" s="13"/>
      <c r="U305" s="13"/>
    </row>
    <row r="306">
      <c r="A306" s="11">
        <v>45231.0</v>
      </c>
      <c r="S306" s="12"/>
      <c r="T306" s="13"/>
      <c r="U306" s="13"/>
    </row>
    <row r="307">
      <c r="A307" s="11">
        <v>45232.0</v>
      </c>
      <c r="S307" s="12"/>
      <c r="T307" s="13"/>
      <c r="U307" s="13"/>
    </row>
    <row r="308">
      <c r="A308" s="11">
        <v>45233.0</v>
      </c>
      <c r="S308" s="12"/>
      <c r="T308" s="13"/>
      <c r="U308" s="13"/>
    </row>
    <row r="309">
      <c r="A309" s="11">
        <v>45234.0</v>
      </c>
      <c r="S309" s="12"/>
      <c r="T309" s="13"/>
      <c r="U309" s="13"/>
    </row>
    <row r="310">
      <c r="A310" s="11">
        <v>45235.0</v>
      </c>
      <c r="S310" s="12"/>
      <c r="T310" s="13"/>
      <c r="U310" s="13"/>
    </row>
    <row r="311">
      <c r="A311" s="11">
        <v>45236.0</v>
      </c>
      <c r="S311" s="12"/>
      <c r="T311" s="13"/>
      <c r="U311" s="13"/>
    </row>
    <row r="312">
      <c r="A312" s="11">
        <v>45237.0</v>
      </c>
      <c r="S312" s="14">
        <v>2.98</v>
      </c>
      <c r="T312" s="13"/>
      <c r="U312" s="13"/>
    </row>
    <row r="313">
      <c r="A313" s="11">
        <v>45238.0</v>
      </c>
      <c r="S313" s="12"/>
      <c r="T313" s="13"/>
      <c r="U313" s="13"/>
    </row>
    <row r="314">
      <c r="A314" s="11">
        <v>45239.0</v>
      </c>
      <c r="S314" s="14"/>
      <c r="T314" s="13"/>
      <c r="U314" s="13"/>
    </row>
    <row r="315">
      <c r="A315" s="11">
        <v>45240.0</v>
      </c>
      <c r="S315" s="12"/>
      <c r="T315" s="13"/>
      <c r="U315" s="13"/>
    </row>
    <row r="316">
      <c r="A316" s="11">
        <v>45241.0</v>
      </c>
      <c r="S316" s="12"/>
      <c r="T316" s="13"/>
      <c r="U316" s="13"/>
    </row>
    <row r="317">
      <c r="A317" s="11">
        <v>45242.0</v>
      </c>
      <c r="S317" s="12"/>
      <c r="T317" s="13"/>
      <c r="U317" s="13"/>
    </row>
    <row r="318">
      <c r="A318" s="11">
        <v>45243.0</v>
      </c>
      <c r="S318" s="12"/>
      <c r="T318" s="13"/>
      <c r="U318" s="13"/>
    </row>
    <row r="319">
      <c r="A319" s="11">
        <v>45244.0</v>
      </c>
      <c r="S319" s="12"/>
      <c r="T319" s="13"/>
      <c r="U319" s="13"/>
    </row>
    <row r="320">
      <c r="A320" s="11">
        <v>45245.0</v>
      </c>
      <c r="S320" s="12"/>
      <c r="T320" s="13"/>
      <c r="U320" s="13"/>
    </row>
    <row r="321">
      <c r="A321" s="11">
        <v>45246.0</v>
      </c>
      <c r="S321" s="12"/>
      <c r="T321" s="13"/>
      <c r="U321" s="13"/>
    </row>
    <row r="322">
      <c r="A322" s="11">
        <v>45247.0</v>
      </c>
      <c r="S322" s="12"/>
      <c r="T322" s="13"/>
      <c r="U322" s="13"/>
    </row>
    <row r="323">
      <c r="A323" s="11">
        <v>45248.0</v>
      </c>
      <c r="S323" s="12"/>
      <c r="T323" s="13"/>
      <c r="U323" s="13"/>
    </row>
    <row r="324">
      <c r="A324" s="11">
        <v>45249.0</v>
      </c>
      <c r="S324" s="12"/>
      <c r="T324" s="13"/>
      <c r="U324" s="13"/>
    </row>
    <row r="325">
      <c r="A325" s="11">
        <v>45250.0</v>
      </c>
      <c r="S325" s="12"/>
      <c r="T325" s="13"/>
      <c r="U325" s="13"/>
    </row>
    <row r="326">
      <c r="A326" s="11">
        <v>45251.0</v>
      </c>
      <c r="S326" s="12"/>
      <c r="T326" s="13"/>
      <c r="U326" s="13"/>
    </row>
    <row r="327">
      <c r="A327" s="11">
        <v>45252.0</v>
      </c>
      <c r="S327" s="12"/>
      <c r="T327" s="13"/>
      <c r="U327" s="13"/>
    </row>
    <row r="328">
      <c r="A328" s="11">
        <v>45253.0</v>
      </c>
      <c r="S328" s="12"/>
      <c r="T328" s="13"/>
      <c r="U328" s="13"/>
    </row>
    <row r="329">
      <c r="A329" s="11">
        <v>45254.0</v>
      </c>
      <c r="S329" s="12"/>
      <c r="T329" s="13"/>
      <c r="U329" s="13"/>
    </row>
    <row r="330">
      <c r="A330" s="11">
        <v>45255.0</v>
      </c>
      <c r="S330" s="12"/>
      <c r="T330" s="13"/>
      <c r="U330" s="13"/>
    </row>
    <row r="331">
      <c r="A331" s="11">
        <v>45256.0</v>
      </c>
      <c r="S331" s="12"/>
      <c r="T331" s="13"/>
      <c r="U331" s="13"/>
    </row>
    <row r="332">
      <c r="A332" s="11">
        <v>45257.0</v>
      </c>
      <c r="S332" s="12"/>
      <c r="T332" s="13"/>
      <c r="U332" s="13"/>
    </row>
    <row r="333">
      <c r="A333" s="11">
        <v>45258.0</v>
      </c>
      <c r="S333" s="12"/>
      <c r="T333" s="13"/>
      <c r="U333" s="13"/>
    </row>
    <row r="334">
      <c r="A334" s="11">
        <v>45259.0</v>
      </c>
      <c r="S334" s="12"/>
      <c r="T334" s="13"/>
      <c r="U334" s="13"/>
    </row>
    <row r="335">
      <c r="A335" s="11">
        <v>45260.0</v>
      </c>
      <c r="S335" s="12"/>
      <c r="T335" s="13"/>
      <c r="U335" s="13"/>
    </row>
    <row r="336">
      <c r="A336" s="11">
        <v>45261.0</v>
      </c>
      <c r="S336" s="12"/>
      <c r="T336" s="13"/>
      <c r="U336" s="13"/>
    </row>
    <row r="337">
      <c r="A337" s="11">
        <v>45262.0</v>
      </c>
      <c r="S337" s="12"/>
      <c r="T337" s="13"/>
      <c r="U337" s="13"/>
    </row>
    <row r="338">
      <c r="A338" s="11">
        <v>45263.0</v>
      </c>
      <c r="S338" s="12"/>
      <c r="T338" s="13"/>
      <c r="U338" s="13"/>
    </row>
    <row r="339">
      <c r="A339" s="11">
        <v>45264.0</v>
      </c>
      <c r="S339" s="12"/>
      <c r="T339" s="13"/>
      <c r="U339" s="13"/>
    </row>
    <row r="340">
      <c r="A340" s="11">
        <v>45265.0</v>
      </c>
      <c r="S340" s="12"/>
      <c r="T340" s="13"/>
      <c r="U340" s="13"/>
    </row>
    <row r="341">
      <c r="A341" s="11">
        <v>45266.0</v>
      </c>
      <c r="S341" s="14">
        <v>4.56</v>
      </c>
      <c r="T341" s="13"/>
      <c r="U341" s="13"/>
    </row>
    <row r="342">
      <c r="A342" s="11">
        <v>45267.0</v>
      </c>
      <c r="S342" s="12"/>
      <c r="T342" s="13"/>
      <c r="U342" s="13"/>
    </row>
    <row r="343">
      <c r="A343" s="11">
        <v>45268.0</v>
      </c>
      <c r="S343" s="12"/>
      <c r="T343" s="13"/>
      <c r="U343" s="13"/>
    </row>
    <row r="344">
      <c r="A344" s="11">
        <v>45269.0</v>
      </c>
      <c r="S344" s="12"/>
      <c r="T344" s="13"/>
      <c r="U344" s="13"/>
    </row>
    <row r="345">
      <c r="A345" s="11">
        <v>45270.0</v>
      </c>
      <c r="S345" s="12"/>
      <c r="T345" s="13"/>
      <c r="U345" s="13"/>
    </row>
    <row r="346">
      <c r="A346" s="11">
        <v>45271.0</v>
      </c>
      <c r="S346" s="12"/>
      <c r="T346" s="13"/>
      <c r="U346" s="13"/>
    </row>
    <row r="347">
      <c r="A347" s="11">
        <v>45272.0</v>
      </c>
      <c r="S347" s="12"/>
      <c r="T347" s="13"/>
      <c r="U347" s="13"/>
    </row>
    <row r="348">
      <c r="A348" s="11">
        <v>45273.0</v>
      </c>
      <c r="S348" s="12"/>
      <c r="T348" s="13"/>
      <c r="U348" s="13"/>
    </row>
    <row r="349">
      <c r="A349" s="11">
        <v>45274.0</v>
      </c>
      <c r="S349" s="12"/>
      <c r="T349" s="13"/>
      <c r="U349" s="13"/>
    </row>
    <row r="350">
      <c r="A350" s="11">
        <v>45275.0</v>
      </c>
      <c r="S350" s="12"/>
      <c r="T350" s="13"/>
      <c r="U350" s="13"/>
    </row>
    <row r="351">
      <c r="A351" s="11">
        <v>45276.0</v>
      </c>
      <c r="S351" s="12"/>
      <c r="T351" s="13"/>
      <c r="U351" s="13"/>
    </row>
    <row r="352">
      <c r="A352" s="11">
        <v>45277.0</v>
      </c>
      <c r="S352" s="12"/>
      <c r="T352" s="13"/>
      <c r="U352" s="13"/>
    </row>
    <row r="353">
      <c r="A353" s="11">
        <v>45278.0</v>
      </c>
      <c r="S353" s="14">
        <v>3.09</v>
      </c>
      <c r="T353" s="13"/>
      <c r="U353" s="13"/>
    </row>
    <row r="354">
      <c r="A354" s="11">
        <v>45279.0</v>
      </c>
      <c r="S354" s="12"/>
      <c r="T354" s="13"/>
      <c r="U354" s="13"/>
    </row>
    <row r="355">
      <c r="A355" s="11">
        <v>45280.0</v>
      </c>
      <c r="S355" s="12"/>
      <c r="T355" s="13"/>
      <c r="U355" s="13"/>
    </row>
    <row r="356">
      <c r="A356" s="11">
        <v>45281.0</v>
      </c>
      <c r="S356" s="12"/>
      <c r="T356" s="13"/>
      <c r="U356" s="13"/>
    </row>
    <row r="357">
      <c r="A357" s="11">
        <v>45282.0</v>
      </c>
      <c r="S357" s="12"/>
      <c r="T357" s="13"/>
      <c r="U357" s="13"/>
    </row>
    <row r="358">
      <c r="A358" s="11">
        <v>45283.0</v>
      </c>
      <c r="S358" s="12"/>
      <c r="T358" s="13"/>
      <c r="U358" s="13"/>
    </row>
    <row r="359">
      <c r="A359" s="11">
        <v>45284.0</v>
      </c>
      <c r="S359" s="12"/>
      <c r="T359" s="13"/>
      <c r="U359" s="13"/>
    </row>
    <row r="360">
      <c r="A360" s="11">
        <v>45285.0</v>
      </c>
      <c r="S360" s="12"/>
      <c r="T360" s="13"/>
      <c r="U360" s="13"/>
    </row>
    <row r="361">
      <c r="A361" s="11">
        <v>45286.0</v>
      </c>
      <c r="S361" s="12"/>
      <c r="T361" s="13"/>
      <c r="U361" s="13"/>
    </row>
    <row r="362">
      <c r="A362" s="11">
        <v>45287.0</v>
      </c>
      <c r="S362" s="12"/>
      <c r="T362" s="13"/>
      <c r="U362" s="13"/>
    </row>
    <row r="363">
      <c r="A363" s="11">
        <v>45288.0</v>
      </c>
      <c r="S363" s="12"/>
      <c r="T363" s="13"/>
      <c r="U363" s="13"/>
    </row>
    <row r="364">
      <c r="A364" s="11">
        <v>45289.0</v>
      </c>
      <c r="S364" s="12"/>
      <c r="T364" s="13"/>
      <c r="U364" s="13"/>
    </row>
    <row r="365">
      <c r="A365" s="11">
        <v>45290.0</v>
      </c>
      <c r="S365" s="12"/>
      <c r="T365" s="13"/>
      <c r="U365" s="13"/>
    </row>
    <row r="366">
      <c r="A366" s="11">
        <v>45291.0</v>
      </c>
      <c r="S366" s="12"/>
      <c r="T366" s="13"/>
      <c r="U366" s="13"/>
    </row>
    <row r="367">
      <c r="A367" s="11">
        <v>45292.0</v>
      </c>
      <c r="S367" s="12"/>
      <c r="T367" s="13"/>
      <c r="U367" s="13"/>
    </row>
    <row r="368">
      <c r="A368" s="11">
        <v>45293.0</v>
      </c>
      <c r="S368" s="12"/>
      <c r="T368" s="13"/>
      <c r="U368" s="13"/>
    </row>
    <row r="369">
      <c r="A369" s="11">
        <v>45294.0</v>
      </c>
      <c r="S369" s="12"/>
      <c r="T369" s="13"/>
      <c r="U369" s="13"/>
    </row>
    <row r="370">
      <c r="A370" s="11">
        <v>45295.0</v>
      </c>
      <c r="S370" s="12"/>
      <c r="T370" s="13"/>
      <c r="U370" s="13"/>
    </row>
    <row r="371">
      <c r="A371" s="11">
        <v>45296.0</v>
      </c>
      <c r="S371" s="12"/>
      <c r="T371" s="13"/>
      <c r="U371" s="13"/>
    </row>
    <row r="372">
      <c r="A372" s="11">
        <v>45297.0</v>
      </c>
      <c r="S372" s="12"/>
      <c r="T372" s="13"/>
      <c r="U372" s="13"/>
    </row>
    <row r="373">
      <c r="A373" s="11">
        <v>45298.0</v>
      </c>
      <c r="S373" s="12"/>
      <c r="T373" s="13"/>
      <c r="U373" s="13"/>
    </row>
    <row r="374">
      <c r="A374" s="11">
        <v>45299.0</v>
      </c>
      <c r="S374" s="12"/>
      <c r="T374" s="13"/>
      <c r="U374" s="13"/>
    </row>
    <row r="375">
      <c r="A375" s="11">
        <v>45300.0</v>
      </c>
      <c r="S375" s="12"/>
      <c r="T375" s="13"/>
      <c r="U375" s="13"/>
    </row>
    <row r="376">
      <c r="A376" s="11">
        <v>45301.0</v>
      </c>
      <c r="S376" s="12"/>
      <c r="T376" s="13"/>
      <c r="U376" s="13"/>
    </row>
    <row r="377">
      <c r="A377" s="11">
        <v>45302.0</v>
      </c>
      <c r="S377" s="12"/>
      <c r="T377" s="13"/>
      <c r="U377" s="13"/>
    </row>
    <row r="378">
      <c r="A378" s="11">
        <v>45303.0</v>
      </c>
      <c r="S378" s="12"/>
      <c r="T378" s="13"/>
      <c r="U378" s="13"/>
    </row>
    <row r="379">
      <c r="A379" s="11">
        <v>45304.0</v>
      </c>
      <c r="S379" s="12"/>
      <c r="T379" s="13"/>
      <c r="U379" s="13"/>
    </row>
    <row r="380">
      <c r="A380" s="11">
        <v>45305.0</v>
      </c>
      <c r="S380" s="12"/>
      <c r="T380" s="13"/>
      <c r="U380" s="13"/>
    </row>
    <row r="381">
      <c r="A381" s="11">
        <v>45306.0</v>
      </c>
      <c r="S381" s="14">
        <v>11.2</v>
      </c>
      <c r="T381" s="15" t="s">
        <v>39</v>
      </c>
      <c r="U381" s="13"/>
    </row>
    <row r="382">
      <c r="A382" s="11">
        <v>45307.0</v>
      </c>
      <c r="S382" s="12"/>
      <c r="T382" s="13"/>
      <c r="U382" s="13"/>
    </row>
    <row r="383">
      <c r="A383" s="11">
        <v>45308.0</v>
      </c>
      <c r="S383" s="12"/>
      <c r="T383" s="13"/>
      <c r="U383" s="13"/>
    </row>
    <row r="384">
      <c r="A384" s="11">
        <v>45309.0</v>
      </c>
      <c r="S384" s="12"/>
      <c r="T384" s="13"/>
      <c r="U384" s="13"/>
    </row>
    <row r="385">
      <c r="A385" s="11">
        <v>45310.0</v>
      </c>
      <c r="S385" s="12"/>
      <c r="T385" s="13"/>
      <c r="U385" s="13"/>
    </row>
    <row r="386">
      <c r="A386" s="11">
        <v>45311.0</v>
      </c>
      <c r="S386" s="12"/>
      <c r="T386" s="13"/>
      <c r="U386" s="13"/>
    </row>
    <row r="387">
      <c r="A387" s="11">
        <v>45312.0</v>
      </c>
      <c r="S387" s="12"/>
      <c r="T387" s="13"/>
      <c r="U387" s="13"/>
    </row>
    <row r="388">
      <c r="A388" s="11">
        <v>45313.0</v>
      </c>
      <c r="S388" s="14">
        <v>3.78</v>
      </c>
      <c r="T388" s="15" t="s">
        <v>39</v>
      </c>
      <c r="U388" s="13"/>
    </row>
    <row r="389">
      <c r="A389" s="11">
        <v>45314.0</v>
      </c>
      <c r="S389" s="12"/>
      <c r="T389" s="13"/>
      <c r="U389" s="13"/>
    </row>
    <row r="390">
      <c r="A390" s="11">
        <v>45315.0</v>
      </c>
      <c r="S390" s="12"/>
      <c r="T390" s="13"/>
      <c r="U390" s="13"/>
    </row>
    <row r="391">
      <c r="A391" s="11">
        <v>45316.0</v>
      </c>
      <c r="S391" s="12"/>
      <c r="T391" s="13"/>
      <c r="U391" s="13"/>
    </row>
    <row r="392">
      <c r="A392" s="11">
        <v>45317.0</v>
      </c>
      <c r="S392" s="12"/>
      <c r="T392" s="13"/>
      <c r="U392" s="13"/>
    </row>
    <row r="393">
      <c r="A393" s="11">
        <v>45318.0</v>
      </c>
      <c r="S393" s="12"/>
      <c r="T393" s="13"/>
      <c r="U393" s="13"/>
    </row>
    <row r="394">
      <c r="A394" s="11">
        <v>45319.0</v>
      </c>
      <c r="S394" s="12"/>
      <c r="T394" s="13"/>
      <c r="U394" s="13"/>
    </row>
    <row r="395">
      <c r="A395" s="11">
        <v>45320.0</v>
      </c>
      <c r="S395" s="12"/>
      <c r="T395" s="13"/>
      <c r="U395" s="13"/>
    </row>
    <row r="396">
      <c r="A396" s="11">
        <v>45321.0</v>
      </c>
      <c r="S396" s="12"/>
      <c r="T396" s="13"/>
      <c r="U396" s="13"/>
    </row>
    <row r="397">
      <c r="A397" s="11">
        <v>45322.0</v>
      </c>
      <c r="S397" s="12"/>
      <c r="T397" s="13"/>
      <c r="U397" s="13"/>
    </row>
    <row r="398">
      <c r="A398" s="11">
        <v>45323.0</v>
      </c>
      <c r="S398" s="12"/>
      <c r="T398" s="13"/>
      <c r="U398" s="13"/>
    </row>
    <row r="399">
      <c r="A399" s="11">
        <v>45324.0</v>
      </c>
      <c r="S399" s="12"/>
      <c r="T399" s="13"/>
      <c r="U399" s="13"/>
    </row>
    <row r="400">
      <c r="A400" s="11">
        <v>45325.0</v>
      </c>
      <c r="S400" s="12"/>
      <c r="T400" s="13"/>
      <c r="U400" s="13"/>
    </row>
    <row r="401">
      <c r="A401" s="11">
        <v>45326.0</v>
      </c>
      <c r="S401" s="12"/>
      <c r="T401" s="13"/>
      <c r="U401" s="13"/>
    </row>
    <row r="402">
      <c r="A402" s="11">
        <v>45327.0</v>
      </c>
      <c r="S402" s="14">
        <v>7.48</v>
      </c>
      <c r="T402" s="15" t="s">
        <v>40</v>
      </c>
      <c r="U402" s="13"/>
    </row>
    <row r="403">
      <c r="A403" s="11">
        <v>45328.0</v>
      </c>
      <c r="S403" s="12"/>
      <c r="T403" s="13"/>
      <c r="U403" s="13"/>
    </row>
    <row r="404">
      <c r="A404" s="11">
        <v>45329.0</v>
      </c>
      <c r="S404" s="12"/>
      <c r="T404" s="13"/>
      <c r="U404" s="13"/>
    </row>
    <row r="405">
      <c r="A405" s="11">
        <v>45330.0</v>
      </c>
      <c r="S405" s="12"/>
      <c r="T405" s="13"/>
      <c r="U405" s="13"/>
    </row>
    <row r="406">
      <c r="A406" s="11">
        <v>45331.0</v>
      </c>
      <c r="S406" s="12"/>
      <c r="T406" s="13"/>
      <c r="U406" s="13"/>
    </row>
    <row r="407">
      <c r="A407" s="11">
        <v>45332.0</v>
      </c>
      <c r="S407" s="12"/>
      <c r="T407" s="13"/>
      <c r="U407" s="13"/>
    </row>
    <row r="408">
      <c r="A408" s="11">
        <v>45333.0</v>
      </c>
      <c r="S408" s="12"/>
      <c r="T408" s="13"/>
      <c r="U408" s="13"/>
    </row>
    <row r="409">
      <c r="A409" s="11">
        <v>45334.0</v>
      </c>
      <c r="S409" s="12"/>
      <c r="T409" s="13"/>
      <c r="U409" s="13"/>
    </row>
    <row r="410">
      <c r="A410" s="11">
        <v>45335.0</v>
      </c>
      <c r="S410" s="12"/>
      <c r="T410" s="13"/>
      <c r="U410" s="13"/>
    </row>
    <row r="411">
      <c r="A411" s="11">
        <v>45336.0</v>
      </c>
      <c r="S411" s="12"/>
      <c r="T411" s="13"/>
      <c r="U411" s="13"/>
    </row>
    <row r="412">
      <c r="A412" s="11">
        <v>45337.0</v>
      </c>
      <c r="S412" s="12"/>
      <c r="T412" s="13"/>
      <c r="U412" s="13"/>
    </row>
    <row r="413">
      <c r="A413" s="11">
        <v>45338.0</v>
      </c>
      <c r="S413" s="12"/>
      <c r="T413" s="13"/>
      <c r="U413" s="13"/>
    </row>
    <row r="414">
      <c r="A414" s="11">
        <v>45339.0</v>
      </c>
      <c r="S414" s="12"/>
      <c r="T414" s="13"/>
      <c r="U414" s="13"/>
    </row>
    <row r="415">
      <c r="A415" s="11">
        <v>45340.0</v>
      </c>
      <c r="S415" s="12"/>
      <c r="U415" s="13"/>
    </row>
    <row r="416">
      <c r="A416" s="11">
        <v>45341.0</v>
      </c>
      <c r="S416" s="14">
        <v>23.32</v>
      </c>
      <c r="T416" s="15" t="s">
        <v>41</v>
      </c>
      <c r="U416" s="15" t="s">
        <v>42</v>
      </c>
    </row>
    <row r="417">
      <c r="A417" s="11">
        <v>45342.0</v>
      </c>
      <c r="S417" s="12"/>
      <c r="T417" s="13"/>
      <c r="U417" s="13"/>
    </row>
    <row r="418">
      <c r="A418" s="11">
        <v>45343.0</v>
      </c>
      <c r="S418" s="12"/>
      <c r="T418" s="13"/>
      <c r="U418" s="13"/>
    </row>
    <row r="419">
      <c r="A419" s="11">
        <v>45344.0</v>
      </c>
      <c r="S419" s="12"/>
      <c r="T419" s="13"/>
      <c r="U419" s="13"/>
    </row>
    <row r="420">
      <c r="A420" s="11">
        <v>45345.0</v>
      </c>
      <c r="S420" s="12"/>
      <c r="T420" s="13"/>
      <c r="U420" s="13"/>
    </row>
    <row r="421">
      <c r="A421" s="11">
        <v>45346.0</v>
      </c>
      <c r="S421" s="12"/>
      <c r="T421" s="13"/>
      <c r="U421" s="13"/>
    </row>
    <row r="422">
      <c r="A422" s="11">
        <v>45347.0</v>
      </c>
      <c r="S422" s="12"/>
      <c r="T422" s="13"/>
      <c r="U422" s="13"/>
    </row>
    <row r="423">
      <c r="A423" s="11">
        <v>45348.0</v>
      </c>
      <c r="S423" s="12"/>
      <c r="T423" s="13"/>
      <c r="U423" s="13"/>
    </row>
    <row r="424">
      <c r="A424" s="11">
        <v>45349.0</v>
      </c>
      <c r="S424" s="12"/>
      <c r="T424" s="13"/>
      <c r="U424" s="13"/>
    </row>
    <row r="425">
      <c r="A425" s="11">
        <v>45350.0</v>
      </c>
      <c r="S425" s="12"/>
      <c r="T425" s="13"/>
      <c r="U425" s="13"/>
    </row>
    <row r="426">
      <c r="A426" s="11">
        <v>45351.0</v>
      </c>
      <c r="S426" s="12"/>
      <c r="T426" s="13"/>
      <c r="U426" s="13"/>
    </row>
    <row r="427">
      <c r="A427" s="11">
        <v>45352.0</v>
      </c>
      <c r="S427" s="12"/>
      <c r="T427" s="13"/>
      <c r="U427" s="13"/>
    </row>
    <row r="428">
      <c r="A428" s="11">
        <v>45353.0</v>
      </c>
      <c r="S428" s="12"/>
      <c r="T428" s="13"/>
      <c r="U428" s="13"/>
    </row>
    <row r="429">
      <c r="A429" s="11">
        <v>45354.0</v>
      </c>
      <c r="S429" s="12"/>
      <c r="T429" s="13"/>
      <c r="U429" s="13"/>
    </row>
    <row r="430">
      <c r="A430" s="11">
        <v>45355.0</v>
      </c>
      <c r="S430" s="12"/>
      <c r="T430" s="13"/>
      <c r="U430" s="13"/>
    </row>
    <row r="431">
      <c r="A431" s="11">
        <v>45356.0</v>
      </c>
      <c r="S431" s="12"/>
      <c r="T431" s="13"/>
      <c r="U431" s="13"/>
    </row>
    <row r="432">
      <c r="A432" s="11">
        <v>45357.0</v>
      </c>
      <c r="S432" s="12"/>
      <c r="T432" s="13"/>
      <c r="U432" s="13"/>
    </row>
    <row r="433">
      <c r="A433" s="11">
        <v>45358.0</v>
      </c>
      <c r="S433" s="14">
        <v>10.04</v>
      </c>
      <c r="T433" s="15" t="s">
        <v>43</v>
      </c>
      <c r="U433" s="15" t="s">
        <v>44</v>
      </c>
    </row>
    <row r="434">
      <c r="A434" s="11">
        <v>45359.0</v>
      </c>
      <c r="S434" s="12"/>
      <c r="T434" s="13"/>
      <c r="U434" s="13"/>
    </row>
    <row r="435">
      <c r="A435" s="11">
        <v>45360.0</v>
      </c>
      <c r="S435" s="12"/>
      <c r="T435" s="13"/>
      <c r="U435" s="13"/>
    </row>
    <row r="436">
      <c r="A436" s="11">
        <v>45361.0</v>
      </c>
      <c r="S436" s="12"/>
      <c r="T436" s="13"/>
      <c r="U436" s="13"/>
    </row>
    <row r="437">
      <c r="A437" s="11">
        <v>45362.0</v>
      </c>
      <c r="S437" s="12"/>
      <c r="T437" s="13"/>
      <c r="U437" s="13"/>
    </row>
    <row r="438">
      <c r="A438" s="11">
        <v>45363.0</v>
      </c>
      <c r="S438" s="12"/>
      <c r="T438" s="13"/>
      <c r="U438" s="13"/>
    </row>
    <row r="439">
      <c r="A439" s="11">
        <v>45364.0</v>
      </c>
      <c r="S439" s="12"/>
      <c r="T439" s="13"/>
      <c r="U439" s="13"/>
    </row>
    <row r="440">
      <c r="A440" s="11">
        <v>45365.0</v>
      </c>
      <c r="S440" s="12"/>
      <c r="T440" s="13"/>
      <c r="U440" s="13"/>
    </row>
    <row r="441">
      <c r="A441" s="11">
        <v>45366.0</v>
      </c>
      <c r="S441" s="12"/>
      <c r="T441" s="13"/>
      <c r="U441" s="13"/>
    </row>
    <row r="442">
      <c r="A442" s="11">
        <v>45367.0</v>
      </c>
      <c r="S442" s="12"/>
      <c r="T442" s="13"/>
      <c r="U442" s="13"/>
    </row>
    <row r="443">
      <c r="A443" s="11">
        <v>45368.0</v>
      </c>
      <c r="S443" s="12"/>
      <c r="T443" s="13"/>
      <c r="U443" s="13"/>
    </row>
    <row r="444">
      <c r="A444" s="11">
        <v>45369.0</v>
      </c>
      <c r="S444" s="14">
        <v>14.92</v>
      </c>
      <c r="T444" s="15" t="s">
        <v>45</v>
      </c>
      <c r="U444" s="13"/>
    </row>
    <row r="445">
      <c r="A445" s="11">
        <v>45370.0</v>
      </c>
      <c r="S445" s="12"/>
      <c r="T445" s="13"/>
      <c r="U445" s="13"/>
    </row>
    <row r="446">
      <c r="A446" s="11">
        <v>45371.0</v>
      </c>
      <c r="S446" s="12"/>
      <c r="T446" s="13"/>
      <c r="U446" s="13"/>
    </row>
    <row r="447">
      <c r="A447" s="11">
        <v>45372.0</v>
      </c>
      <c r="S447" s="12"/>
      <c r="T447" s="13"/>
      <c r="U447" s="13"/>
    </row>
    <row r="448">
      <c r="A448" s="11">
        <v>45373.0</v>
      </c>
      <c r="S448" s="12"/>
      <c r="T448" s="13"/>
      <c r="U448" s="13"/>
    </row>
    <row r="449">
      <c r="A449" s="11">
        <v>45374.0</v>
      </c>
      <c r="S449" s="12"/>
      <c r="T449" s="13"/>
      <c r="U449" s="13"/>
    </row>
    <row r="450">
      <c r="A450" s="11">
        <v>45375.0</v>
      </c>
      <c r="S450" s="12"/>
      <c r="T450" s="13"/>
      <c r="U450" s="13"/>
    </row>
    <row r="451">
      <c r="A451" s="11">
        <v>45376.0</v>
      </c>
      <c r="S451" s="12"/>
      <c r="T451" s="13"/>
      <c r="U451" s="13"/>
    </row>
    <row r="452">
      <c r="A452" s="11">
        <v>45377.0</v>
      </c>
      <c r="S452" s="12"/>
      <c r="T452" s="13"/>
      <c r="U452" s="13"/>
    </row>
    <row r="453">
      <c r="A453" s="11">
        <v>45378.0</v>
      </c>
      <c r="S453" s="12"/>
      <c r="T453" s="13"/>
      <c r="U453" s="13"/>
    </row>
    <row r="454">
      <c r="A454" s="11">
        <v>45379.0</v>
      </c>
      <c r="S454" s="12"/>
      <c r="T454" s="13"/>
      <c r="U454" s="13"/>
    </row>
    <row r="455">
      <c r="A455" s="11">
        <v>45380.0</v>
      </c>
      <c r="S455" s="12"/>
      <c r="T455" s="13"/>
      <c r="U455" s="13"/>
    </row>
    <row r="456">
      <c r="A456" s="11">
        <v>45381.0</v>
      </c>
      <c r="S456" s="12"/>
      <c r="T456" s="13"/>
      <c r="U456" s="13"/>
    </row>
    <row r="457">
      <c r="A457" s="11">
        <v>45382.0</v>
      </c>
      <c r="S457" s="12"/>
      <c r="T457" s="13"/>
      <c r="U457" s="13"/>
    </row>
    <row r="458">
      <c r="A458" s="11">
        <v>45383.0</v>
      </c>
      <c r="S458" s="12"/>
      <c r="T458" s="13"/>
      <c r="U458" s="13"/>
    </row>
    <row r="459">
      <c r="A459" s="11">
        <v>45384.0</v>
      </c>
      <c r="S459" s="12"/>
      <c r="T459" s="13"/>
      <c r="U459" s="13"/>
    </row>
    <row r="460">
      <c r="A460" s="11">
        <v>45385.0</v>
      </c>
      <c r="S460" s="14">
        <v>7.66</v>
      </c>
      <c r="T460" s="15" t="s">
        <v>46</v>
      </c>
      <c r="U460" s="13"/>
    </row>
    <row r="461">
      <c r="A461" s="11">
        <v>45386.0</v>
      </c>
      <c r="S461" s="12"/>
      <c r="T461" s="13"/>
      <c r="U461" s="13"/>
    </row>
    <row r="462">
      <c r="A462" s="11">
        <v>45387.0</v>
      </c>
      <c r="S462" s="12"/>
      <c r="T462" s="13"/>
      <c r="U462" s="13"/>
    </row>
    <row r="463">
      <c r="A463" s="11">
        <v>45388.0</v>
      </c>
      <c r="S463" s="12"/>
      <c r="T463" s="13"/>
      <c r="U463" s="13"/>
    </row>
    <row r="464">
      <c r="A464" s="11">
        <v>45389.0</v>
      </c>
      <c r="S464" s="12"/>
      <c r="T464" s="13"/>
      <c r="U464" s="13"/>
    </row>
    <row r="465">
      <c r="A465" s="11">
        <v>45390.0</v>
      </c>
      <c r="S465" s="12"/>
      <c r="T465" s="13"/>
      <c r="U465" s="13"/>
    </row>
    <row r="466">
      <c r="A466" s="11">
        <v>45391.0</v>
      </c>
      <c r="S466" s="12"/>
      <c r="T466" s="13"/>
      <c r="U466" s="13"/>
    </row>
    <row r="467">
      <c r="A467" s="11">
        <v>45392.0</v>
      </c>
      <c r="S467" s="12"/>
      <c r="T467" s="13"/>
      <c r="U467" s="13"/>
    </row>
    <row r="468">
      <c r="A468" s="11">
        <v>45393.0</v>
      </c>
      <c r="S468" s="12"/>
      <c r="T468" s="13"/>
      <c r="U468" s="13"/>
    </row>
    <row r="469">
      <c r="A469" s="11">
        <v>45394.0</v>
      </c>
      <c r="S469" s="12"/>
      <c r="T469" s="13"/>
      <c r="U469" s="13"/>
    </row>
    <row r="470">
      <c r="A470" s="11">
        <v>45395.0</v>
      </c>
      <c r="S470" s="12"/>
      <c r="T470" s="13"/>
      <c r="U470" s="13"/>
    </row>
    <row r="471">
      <c r="A471" s="11">
        <v>45396.0</v>
      </c>
      <c r="S471" s="12"/>
      <c r="T471" s="13"/>
      <c r="U471" s="13"/>
    </row>
    <row r="472">
      <c r="A472" s="11">
        <v>45397.0</v>
      </c>
      <c r="S472" s="14">
        <v>9.3</v>
      </c>
      <c r="T472" s="15" t="s">
        <v>23</v>
      </c>
      <c r="U472" s="13"/>
    </row>
    <row r="473">
      <c r="A473" s="11">
        <v>45398.0</v>
      </c>
      <c r="S473" s="12"/>
      <c r="T473" s="13"/>
      <c r="U473" s="13"/>
    </row>
    <row r="474">
      <c r="A474" s="11">
        <v>45399.0</v>
      </c>
      <c r="S474" s="12"/>
      <c r="T474" s="13"/>
      <c r="U474" s="13"/>
    </row>
    <row r="475">
      <c r="A475" s="11">
        <v>45400.0</v>
      </c>
      <c r="S475" s="12"/>
      <c r="T475" s="13"/>
      <c r="U475" s="13"/>
    </row>
    <row r="476">
      <c r="A476" s="11">
        <v>45401.0</v>
      </c>
      <c r="S476" s="12"/>
      <c r="T476" s="13"/>
      <c r="U476" s="13"/>
    </row>
    <row r="477">
      <c r="A477" s="11">
        <v>45402.0</v>
      </c>
      <c r="S477" s="12"/>
      <c r="T477" s="13"/>
      <c r="U477" s="13"/>
    </row>
    <row r="478">
      <c r="A478" s="11">
        <v>45403.0</v>
      </c>
      <c r="S478" s="12"/>
      <c r="T478" s="13"/>
      <c r="U478" s="13"/>
    </row>
    <row r="479">
      <c r="A479" s="11">
        <v>45404.0</v>
      </c>
      <c r="S479" s="12"/>
      <c r="T479" s="13"/>
      <c r="U479" s="13"/>
    </row>
    <row r="480">
      <c r="A480" s="11">
        <v>45405.0</v>
      </c>
      <c r="S480" s="12"/>
      <c r="T480" s="13"/>
      <c r="U480" s="13"/>
    </row>
    <row r="481">
      <c r="A481" s="11">
        <v>45406.0</v>
      </c>
      <c r="S481" s="12"/>
      <c r="T481" s="13"/>
      <c r="U481" s="13"/>
    </row>
    <row r="482">
      <c r="A482" s="11">
        <v>45407.0</v>
      </c>
      <c r="S482" s="12"/>
      <c r="T482" s="13"/>
      <c r="U482" s="13"/>
    </row>
    <row r="483">
      <c r="A483" s="11">
        <v>45408.0</v>
      </c>
      <c r="B483" s="17"/>
      <c r="C483" s="17"/>
      <c r="D483" s="17"/>
      <c r="E483" s="17"/>
      <c r="F483" s="18"/>
      <c r="G483" s="17"/>
      <c r="H483" s="17"/>
      <c r="I483" s="17"/>
      <c r="J483" s="17"/>
      <c r="K483" s="17"/>
      <c r="L483" s="19"/>
      <c r="M483" s="19"/>
      <c r="N483" s="20"/>
      <c r="O483" s="20"/>
      <c r="P483" s="21"/>
      <c r="Q483" s="20"/>
      <c r="R483" s="20"/>
      <c r="S483" s="22"/>
      <c r="T483" s="23"/>
      <c r="U483" s="23"/>
      <c r="V483" s="24"/>
      <c r="W483" s="24"/>
    </row>
    <row r="484">
      <c r="A484" s="11">
        <v>45409.0</v>
      </c>
      <c r="B484" s="17"/>
      <c r="C484" s="17"/>
      <c r="D484" s="17"/>
      <c r="E484" s="17"/>
      <c r="F484" s="18"/>
      <c r="G484" s="17"/>
      <c r="H484" s="17"/>
      <c r="I484" s="17"/>
      <c r="J484" s="17"/>
      <c r="K484" s="17"/>
      <c r="L484" s="19"/>
      <c r="M484" s="19"/>
      <c r="N484" s="20"/>
      <c r="O484" s="20"/>
      <c r="P484" s="21"/>
      <c r="Q484" s="20"/>
      <c r="R484" s="20"/>
      <c r="S484" s="22"/>
      <c r="T484" s="23"/>
      <c r="U484" s="23"/>
      <c r="V484" s="24"/>
      <c r="W484" s="24"/>
    </row>
    <row r="485">
      <c r="A485" s="11">
        <v>45410.0</v>
      </c>
      <c r="B485" s="17"/>
      <c r="C485" s="17"/>
      <c r="D485" s="17"/>
      <c r="E485" s="17"/>
      <c r="F485" s="18"/>
      <c r="G485" s="17"/>
      <c r="H485" s="17"/>
      <c r="I485" s="17"/>
      <c r="J485" s="17"/>
      <c r="K485" s="17"/>
      <c r="L485" s="19"/>
      <c r="M485" s="19"/>
      <c r="N485" s="20"/>
      <c r="O485" s="20"/>
      <c r="P485" s="21"/>
      <c r="Q485" s="20"/>
      <c r="R485" s="20"/>
      <c r="S485" s="22"/>
      <c r="T485" s="23"/>
      <c r="U485" s="23"/>
      <c r="V485" s="24"/>
      <c r="W485" s="24"/>
    </row>
    <row r="486">
      <c r="A486" s="11">
        <v>45411.0</v>
      </c>
      <c r="B486" s="17"/>
      <c r="C486" s="17"/>
      <c r="D486" s="17"/>
      <c r="E486" s="17"/>
      <c r="F486" s="18"/>
      <c r="G486" s="17"/>
      <c r="H486" s="17"/>
      <c r="I486" s="17"/>
      <c r="J486" s="17"/>
      <c r="K486" s="17"/>
      <c r="L486" s="19"/>
      <c r="M486" s="19"/>
      <c r="N486" s="20"/>
      <c r="O486" s="20"/>
      <c r="P486" s="21"/>
      <c r="Q486" s="20"/>
      <c r="R486" s="20"/>
      <c r="S486" s="22"/>
      <c r="T486" s="23"/>
      <c r="U486" s="23"/>
      <c r="V486" s="24"/>
      <c r="W486" s="24"/>
    </row>
    <row r="487">
      <c r="A487" s="11">
        <v>45412.0</v>
      </c>
      <c r="B487" s="17"/>
      <c r="C487" s="17"/>
      <c r="D487" s="17"/>
      <c r="E487" s="17"/>
      <c r="F487" s="18"/>
      <c r="G487" s="17"/>
      <c r="H487" s="17"/>
      <c r="I487" s="17"/>
      <c r="J487" s="17"/>
      <c r="K487" s="17"/>
      <c r="L487" s="19"/>
      <c r="M487" s="19"/>
      <c r="N487" s="20"/>
      <c r="O487" s="20"/>
      <c r="P487" s="21"/>
      <c r="Q487" s="20"/>
      <c r="R487" s="20"/>
      <c r="S487" s="22"/>
      <c r="T487" s="23"/>
      <c r="U487" s="23"/>
      <c r="V487" s="24"/>
      <c r="W487" s="24"/>
    </row>
    <row r="488">
      <c r="A488" s="11">
        <v>45413.0</v>
      </c>
      <c r="B488" s="17"/>
      <c r="C488" s="17"/>
      <c r="D488" s="17"/>
      <c r="E488" s="17"/>
      <c r="F488" s="18"/>
      <c r="G488" s="17"/>
      <c r="H488" s="17"/>
      <c r="I488" s="17"/>
      <c r="J488" s="17"/>
      <c r="K488" s="17"/>
      <c r="L488" s="19"/>
      <c r="M488" s="19"/>
      <c r="N488" s="20"/>
      <c r="O488" s="20"/>
      <c r="P488" s="21"/>
      <c r="Q488" s="20"/>
      <c r="R488" s="20"/>
      <c r="S488" s="22"/>
      <c r="T488" s="23"/>
      <c r="U488" s="23"/>
      <c r="V488" s="24"/>
      <c r="W488" s="24"/>
    </row>
    <row r="489">
      <c r="A489" s="11">
        <v>45414.0</v>
      </c>
      <c r="B489" s="17"/>
      <c r="C489" s="17"/>
      <c r="D489" s="17"/>
      <c r="E489" s="17"/>
      <c r="F489" s="18"/>
      <c r="G489" s="17"/>
      <c r="H489" s="17"/>
      <c r="I489" s="17"/>
      <c r="J489" s="17"/>
      <c r="K489" s="17"/>
      <c r="L489" s="19"/>
      <c r="M489" s="19"/>
      <c r="N489" s="20"/>
      <c r="O489" s="20"/>
      <c r="P489" s="21"/>
      <c r="Q489" s="20"/>
      <c r="R489" s="20"/>
      <c r="S489" s="22"/>
      <c r="T489" s="23"/>
      <c r="U489" s="23"/>
      <c r="V489" s="24"/>
      <c r="W489" s="24"/>
    </row>
    <row r="490">
      <c r="A490" s="11">
        <v>45415.0</v>
      </c>
      <c r="B490" s="17"/>
      <c r="C490" s="17"/>
      <c r="D490" s="17"/>
      <c r="E490" s="17"/>
      <c r="F490" s="18"/>
      <c r="G490" s="17"/>
      <c r="H490" s="17"/>
      <c r="I490" s="17"/>
      <c r="J490" s="17"/>
      <c r="K490" s="17"/>
      <c r="L490" s="19"/>
      <c r="M490" s="19"/>
      <c r="N490" s="20"/>
      <c r="O490" s="20"/>
      <c r="P490" s="21"/>
      <c r="Q490" s="20"/>
      <c r="R490" s="20"/>
      <c r="S490" s="22"/>
      <c r="T490" s="23"/>
      <c r="U490" s="23"/>
      <c r="V490" s="24"/>
      <c r="W490" s="24"/>
    </row>
    <row r="491">
      <c r="A491" s="11">
        <v>45416.0</v>
      </c>
      <c r="B491" s="17"/>
      <c r="C491" s="17"/>
      <c r="D491" s="17"/>
      <c r="E491" s="17"/>
      <c r="F491" s="18"/>
      <c r="G491" s="17"/>
      <c r="H491" s="17"/>
      <c r="I491" s="17"/>
      <c r="J491" s="17"/>
      <c r="K491" s="17"/>
      <c r="L491" s="19"/>
      <c r="M491" s="19"/>
      <c r="N491" s="20"/>
      <c r="O491" s="20"/>
      <c r="P491" s="21"/>
      <c r="Q491" s="20"/>
      <c r="R491" s="20"/>
      <c r="S491" s="22"/>
      <c r="T491" s="23"/>
      <c r="U491" s="23"/>
      <c r="V491" s="24"/>
      <c r="W491" s="24"/>
    </row>
    <row r="492">
      <c r="A492" s="11">
        <v>45417.0</v>
      </c>
      <c r="B492" s="17"/>
      <c r="C492" s="17"/>
      <c r="D492" s="17"/>
      <c r="E492" s="17"/>
      <c r="F492" s="18"/>
      <c r="G492" s="17"/>
      <c r="H492" s="17"/>
      <c r="I492" s="17"/>
      <c r="J492" s="17"/>
      <c r="K492" s="17"/>
      <c r="L492" s="19"/>
      <c r="M492" s="19"/>
      <c r="N492" s="20"/>
      <c r="O492" s="20"/>
      <c r="P492" s="21"/>
      <c r="Q492" s="20"/>
      <c r="R492" s="20"/>
      <c r="S492" s="22"/>
      <c r="T492" s="23"/>
      <c r="U492" s="23"/>
      <c r="V492" s="24"/>
      <c r="W492" s="24"/>
    </row>
    <row r="493">
      <c r="A493" s="11">
        <v>45418.0</v>
      </c>
      <c r="B493" s="17"/>
      <c r="C493" s="17"/>
      <c r="D493" s="17"/>
      <c r="E493" s="17"/>
      <c r="F493" s="18"/>
      <c r="G493" s="17"/>
      <c r="H493" s="17"/>
      <c r="I493" s="17"/>
      <c r="J493" s="17"/>
      <c r="K493" s="17"/>
      <c r="L493" s="19"/>
      <c r="M493" s="19"/>
      <c r="N493" s="20"/>
      <c r="O493" s="20"/>
      <c r="P493" s="21"/>
      <c r="Q493" s="20"/>
      <c r="R493" s="20"/>
      <c r="S493" s="22"/>
      <c r="T493" s="23"/>
      <c r="U493" s="23"/>
      <c r="V493" s="24"/>
      <c r="W493" s="24"/>
    </row>
    <row r="494">
      <c r="A494" s="11">
        <v>45419.0</v>
      </c>
      <c r="B494" s="17"/>
      <c r="C494" s="17"/>
      <c r="D494" s="17"/>
      <c r="E494" s="17"/>
      <c r="F494" s="18"/>
      <c r="G494" s="17"/>
      <c r="H494" s="17"/>
      <c r="I494" s="17"/>
      <c r="J494" s="17"/>
      <c r="K494" s="17"/>
      <c r="L494" s="19"/>
      <c r="M494" s="19"/>
      <c r="N494" s="20"/>
      <c r="O494" s="20"/>
      <c r="P494" s="21"/>
      <c r="Q494" s="20"/>
      <c r="R494" s="20"/>
      <c r="S494" s="22">
        <v>12.37</v>
      </c>
      <c r="T494" s="23"/>
      <c r="U494" s="23"/>
      <c r="V494" s="24"/>
      <c r="W494" s="24"/>
    </row>
    <row r="495">
      <c r="A495" s="11">
        <v>45420.0</v>
      </c>
      <c r="B495" s="17"/>
      <c r="C495" s="17"/>
      <c r="D495" s="17"/>
      <c r="E495" s="17"/>
      <c r="F495" s="18"/>
      <c r="G495" s="17"/>
      <c r="H495" s="17"/>
      <c r="I495" s="17"/>
      <c r="J495" s="17"/>
      <c r="K495" s="17"/>
      <c r="L495" s="19"/>
      <c r="M495" s="19"/>
      <c r="N495" s="20"/>
      <c r="O495" s="20"/>
      <c r="P495" s="21"/>
      <c r="Q495" s="20"/>
      <c r="R495" s="20"/>
      <c r="S495" s="22"/>
      <c r="T495" s="23"/>
      <c r="U495" s="23"/>
      <c r="V495" s="24"/>
      <c r="W495" s="24"/>
    </row>
    <row r="496">
      <c r="A496" s="11">
        <v>45421.0</v>
      </c>
      <c r="B496" s="17"/>
      <c r="C496" s="17"/>
      <c r="D496" s="17"/>
      <c r="E496" s="17"/>
      <c r="F496" s="18"/>
      <c r="G496" s="17"/>
      <c r="H496" s="17"/>
      <c r="I496" s="17"/>
      <c r="J496" s="17"/>
      <c r="K496" s="17"/>
      <c r="L496" s="19"/>
      <c r="M496" s="19"/>
      <c r="N496" s="20"/>
      <c r="O496" s="20"/>
      <c r="P496" s="21"/>
      <c r="Q496" s="20"/>
      <c r="R496" s="20"/>
      <c r="S496" s="22"/>
      <c r="T496" s="23"/>
      <c r="U496" s="23"/>
      <c r="V496" s="24"/>
      <c r="W496" s="24"/>
    </row>
    <row r="497">
      <c r="A497" s="11">
        <v>45422.0</v>
      </c>
      <c r="B497" s="17"/>
      <c r="C497" s="17"/>
      <c r="D497" s="17"/>
      <c r="E497" s="17"/>
      <c r="F497" s="18"/>
      <c r="G497" s="17"/>
      <c r="H497" s="17"/>
      <c r="I497" s="17"/>
      <c r="J497" s="17"/>
      <c r="K497" s="17"/>
      <c r="L497" s="19"/>
      <c r="M497" s="19"/>
      <c r="N497" s="20"/>
      <c r="O497" s="20"/>
      <c r="P497" s="21"/>
      <c r="Q497" s="20"/>
      <c r="R497" s="20"/>
      <c r="S497" s="22"/>
      <c r="T497" s="23"/>
      <c r="U497" s="23"/>
      <c r="V497" s="24"/>
      <c r="W497" s="24"/>
    </row>
    <row r="498">
      <c r="A498" s="11">
        <v>45423.0</v>
      </c>
      <c r="B498" s="17"/>
      <c r="C498" s="17"/>
      <c r="D498" s="17"/>
      <c r="E498" s="17"/>
      <c r="F498" s="18"/>
      <c r="G498" s="17"/>
      <c r="H498" s="17"/>
      <c r="I498" s="17"/>
      <c r="J498" s="17"/>
      <c r="K498" s="17"/>
      <c r="L498" s="19"/>
      <c r="M498" s="19"/>
      <c r="N498" s="20"/>
      <c r="O498" s="20"/>
      <c r="P498" s="21"/>
      <c r="Q498" s="20"/>
      <c r="R498" s="20"/>
      <c r="S498" s="22"/>
      <c r="T498" s="23"/>
      <c r="U498" s="23"/>
      <c r="V498" s="24"/>
      <c r="W498" s="24"/>
    </row>
    <row r="499">
      <c r="A499" s="11">
        <v>45424.0</v>
      </c>
      <c r="B499" s="17"/>
      <c r="C499" s="17"/>
      <c r="D499" s="17"/>
      <c r="E499" s="17"/>
      <c r="F499" s="18"/>
      <c r="G499" s="17"/>
      <c r="H499" s="17"/>
      <c r="I499" s="17"/>
      <c r="J499" s="17"/>
      <c r="K499" s="17"/>
      <c r="L499" s="19"/>
      <c r="M499" s="19"/>
      <c r="N499" s="20"/>
      <c r="O499" s="20"/>
      <c r="P499" s="21"/>
      <c r="Q499" s="20"/>
      <c r="R499" s="20"/>
      <c r="S499" s="22"/>
      <c r="T499" s="23"/>
      <c r="U499" s="23"/>
      <c r="V499" s="24"/>
      <c r="W499" s="24"/>
    </row>
    <row r="500">
      <c r="A500" s="11">
        <v>45425.0</v>
      </c>
      <c r="B500" s="17"/>
      <c r="C500" s="17"/>
      <c r="D500" s="17"/>
      <c r="E500" s="17"/>
      <c r="F500" s="18"/>
      <c r="G500" s="17"/>
      <c r="H500" s="17"/>
      <c r="I500" s="17"/>
      <c r="J500" s="17"/>
      <c r="K500" s="17"/>
      <c r="L500" s="19"/>
      <c r="M500" s="19"/>
      <c r="N500" s="20"/>
      <c r="O500" s="20"/>
      <c r="P500" s="21"/>
      <c r="Q500" s="20"/>
      <c r="R500" s="20"/>
      <c r="S500" s="22"/>
      <c r="T500" s="23"/>
      <c r="U500" s="23"/>
      <c r="V500" s="24"/>
      <c r="W500" s="24"/>
    </row>
    <row r="501">
      <c r="A501" s="11">
        <v>45426.0</v>
      </c>
      <c r="B501" s="17"/>
      <c r="C501" s="17"/>
      <c r="D501" s="17"/>
      <c r="E501" s="17"/>
      <c r="F501" s="18"/>
      <c r="G501" s="17"/>
      <c r="H501" s="17"/>
      <c r="I501" s="17"/>
      <c r="J501" s="17"/>
      <c r="K501" s="17"/>
      <c r="L501" s="19"/>
      <c r="M501" s="19"/>
      <c r="N501" s="20"/>
      <c r="O501" s="20"/>
      <c r="P501" s="21"/>
      <c r="Q501" s="20"/>
      <c r="R501" s="20"/>
      <c r="S501" s="22"/>
      <c r="T501" s="23"/>
      <c r="U501" s="23"/>
      <c r="V501" s="24"/>
      <c r="W501" s="24"/>
    </row>
    <row r="502">
      <c r="A502" s="11">
        <v>45427.0</v>
      </c>
      <c r="B502" s="17"/>
      <c r="C502" s="17"/>
      <c r="D502" s="17"/>
      <c r="E502" s="17"/>
      <c r="F502" s="18"/>
      <c r="G502" s="17"/>
      <c r="H502" s="17"/>
      <c r="I502" s="17"/>
      <c r="J502" s="17"/>
      <c r="K502" s="17"/>
      <c r="L502" s="19"/>
      <c r="M502" s="19"/>
      <c r="N502" s="20"/>
      <c r="O502" s="20"/>
      <c r="P502" s="21"/>
      <c r="Q502" s="20"/>
      <c r="R502" s="20"/>
      <c r="S502" s="22"/>
      <c r="T502" s="23"/>
      <c r="U502" s="23"/>
      <c r="V502" s="24"/>
      <c r="W502" s="24"/>
    </row>
    <row r="503">
      <c r="A503" s="11">
        <v>45428.0</v>
      </c>
      <c r="B503" s="17"/>
      <c r="C503" s="17"/>
      <c r="D503" s="17"/>
      <c r="E503" s="17"/>
      <c r="F503" s="18"/>
      <c r="G503" s="17"/>
      <c r="H503" s="17"/>
      <c r="I503" s="17"/>
      <c r="J503" s="17"/>
      <c r="K503" s="17"/>
      <c r="L503" s="19"/>
      <c r="M503" s="19"/>
      <c r="N503" s="20"/>
      <c r="O503" s="20"/>
      <c r="P503" s="21"/>
      <c r="Q503" s="20"/>
      <c r="R503" s="20"/>
      <c r="S503" s="22"/>
      <c r="T503" s="23"/>
      <c r="U503" s="23"/>
      <c r="V503" s="24"/>
      <c r="W503" s="24"/>
    </row>
    <row r="504">
      <c r="A504" s="11">
        <v>45429.0</v>
      </c>
      <c r="B504" s="17"/>
      <c r="C504" s="17"/>
      <c r="D504" s="17"/>
      <c r="E504" s="17"/>
      <c r="F504" s="18"/>
      <c r="G504" s="17"/>
      <c r="H504" s="17"/>
      <c r="I504" s="17"/>
      <c r="J504" s="17"/>
      <c r="K504" s="17"/>
      <c r="L504" s="19"/>
      <c r="M504" s="19"/>
      <c r="N504" s="20"/>
      <c r="O504" s="20"/>
      <c r="P504" s="21"/>
      <c r="Q504" s="20"/>
      <c r="R504" s="20"/>
      <c r="S504" s="22"/>
      <c r="T504" s="23"/>
      <c r="U504" s="23"/>
      <c r="V504" s="24"/>
      <c r="W504" s="24"/>
    </row>
    <row r="505">
      <c r="A505" s="11">
        <v>45430.0</v>
      </c>
      <c r="B505" s="17"/>
      <c r="C505" s="17"/>
      <c r="D505" s="17"/>
      <c r="E505" s="17"/>
      <c r="F505" s="18"/>
      <c r="G505" s="17"/>
      <c r="H505" s="17"/>
      <c r="I505" s="17"/>
      <c r="J505" s="17"/>
      <c r="K505" s="17"/>
      <c r="L505" s="19"/>
      <c r="M505" s="19"/>
      <c r="N505" s="20"/>
      <c r="O505" s="20"/>
      <c r="P505" s="21"/>
      <c r="Q505" s="20"/>
      <c r="R505" s="20"/>
      <c r="S505" s="22"/>
      <c r="T505" s="23"/>
      <c r="U505" s="23"/>
      <c r="V505" s="24"/>
      <c r="W505" s="24"/>
    </row>
    <row r="506">
      <c r="A506" s="11">
        <v>45431.0</v>
      </c>
      <c r="B506" s="17"/>
      <c r="C506" s="17"/>
      <c r="D506" s="17"/>
      <c r="E506" s="17"/>
      <c r="F506" s="18"/>
      <c r="G506" s="17"/>
      <c r="H506" s="17"/>
      <c r="I506" s="17"/>
      <c r="J506" s="17"/>
      <c r="K506" s="17"/>
      <c r="L506" s="19"/>
      <c r="M506" s="19"/>
      <c r="N506" s="20"/>
      <c r="O506" s="20"/>
      <c r="P506" s="21"/>
      <c r="Q506" s="20"/>
      <c r="R506" s="20"/>
      <c r="S506" s="22"/>
      <c r="T506" s="23"/>
      <c r="U506" s="23"/>
      <c r="V506" s="24"/>
      <c r="W506" s="24"/>
    </row>
    <row r="507">
      <c r="A507" s="11">
        <v>45432.0</v>
      </c>
      <c r="B507" s="17"/>
      <c r="C507" s="17"/>
      <c r="D507" s="17"/>
      <c r="E507" s="17"/>
      <c r="F507" s="18"/>
      <c r="G507" s="17"/>
      <c r="H507" s="17"/>
      <c r="I507" s="17"/>
      <c r="J507" s="17"/>
      <c r="K507" s="17"/>
      <c r="L507" s="19"/>
      <c r="M507" s="19"/>
      <c r="N507" s="20"/>
      <c r="O507" s="20"/>
      <c r="P507" s="21"/>
      <c r="Q507" s="20"/>
      <c r="R507" s="20"/>
      <c r="S507" s="22"/>
      <c r="T507" s="23"/>
      <c r="U507" s="23"/>
      <c r="V507" s="24"/>
      <c r="W507" s="24"/>
    </row>
    <row r="508">
      <c r="A508" s="11">
        <v>45433.0</v>
      </c>
      <c r="B508" s="17"/>
      <c r="C508" s="17"/>
      <c r="D508" s="17"/>
      <c r="E508" s="17"/>
      <c r="F508" s="18"/>
      <c r="G508" s="17"/>
      <c r="H508" s="17"/>
      <c r="I508" s="17"/>
      <c r="J508" s="17"/>
      <c r="K508" s="17"/>
      <c r="L508" s="19"/>
      <c r="M508" s="19"/>
      <c r="N508" s="20"/>
      <c r="O508" s="20"/>
      <c r="P508" s="21"/>
      <c r="Q508" s="20"/>
      <c r="R508" s="20"/>
      <c r="S508" s="22"/>
      <c r="T508" s="23"/>
      <c r="U508" s="23"/>
      <c r="V508" s="24"/>
      <c r="W508" s="24"/>
    </row>
    <row r="509">
      <c r="A509" s="11">
        <v>45434.0</v>
      </c>
      <c r="B509" s="17"/>
      <c r="C509" s="17"/>
      <c r="D509" s="17"/>
      <c r="E509" s="17"/>
      <c r="F509" s="18"/>
      <c r="G509" s="17"/>
      <c r="H509" s="17"/>
      <c r="I509" s="17"/>
      <c r="J509" s="17"/>
      <c r="K509" s="17"/>
      <c r="L509" s="19"/>
      <c r="M509" s="19"/>
      <c r="N509" s="20"/>
      <c r="O509" s="20"/>
      <c r="P509" s="21"/>
      <c r="Q509" s="20"/>
      <c r="R509" s="20"/>
      <c r="S509" s="22">
        <v>12.95</v>
      </c>
      <c r="T509" s="23" t="s">
        <v>47</v>
      </c>
      <c r="U509" s="23" t="s">
        <v>48</v>
      </c>
      <c r="V509" s="24"/>
      <c r="W509" s="24"/>
    </row>
    <row r="510">
      <c r="A510" s="11">
        <v>45435.0</v>
      </c>
      <c r="B510" s="17"/>
      <c r="C510" s="17"/>
      <c r="D510" s="17"/>
      <c r="E510" s="17"/>
      <c r="F510" s="18"/>
      <c r="G510" s="17"/>
      <c r="H510" s="17"/>
      <c r="I510" s="17"/>
      <c r="J510" s="17"/>
      <c r="K510" s="17"/>
      <c r="L510" s="19"/>
      <c r="M510" s="19"/>
      <c r="N510" s="20"/>
      <c r="O510" s="20"/>
      <c r="P510" s="21"/>
      <c r="Q510" s="20"/>
      <c r="R510" s="20"/>
      <c r="S510" s="22"/>
      <c r="T510" s="23"/>
      <c r="U510" s="23"/>
      <c r="V510" s="24"/>
      <c r="W510" s="24"/>
    </row>
    <row r="511">
      <c r="A511" s="11">
        <v>45436.0</v>
      </c>
      <c r="B511" s="17"/>
      <c r="C511" s="17"/>
      <c r="D511" s="17"/>
      <c r="E511" s="17"/>
      <c r="F511" s="18"/>
      <c r="G511" s="17"/>
      <c r="H511" s="17"/>
      <c r="I511" s="17"/>
      <c r="J511" s="17"/>
      <c r="K511" s="17"/>
      <c r="L511" s="19"/>
      <c r="M511" s="19"/>
      <c r="N511" s="20"/>
      <c r="O511" s="20"/>
      <c r="P511" s="21"/>
      <c r="Q511" s="20"/>
      <c r="R511" s="20"/>
      <c r="S511" s="22"/>
      <c r="T511" s="23"/>
      <c r="U511" s="23"/>
      <c r="V511" s="24"/>
      <c r="W511" s="24"/>
    </row>
    <row r="512">
      <c r="A512" s="11">
        <v>45437.0</v>
      </c>
      <c r="B512" s="17"/>
      <c r="C512" s="17"/>
      <c r="D512" s="17"/>
      <c r="E512" s="17"/>
      <c r="F512" s="18"/>
      <c r="G512" s="17"/>
      <c r="H512" s="17"/>
      <c r="I512" s="17"/>
      <c r="J512" s="17"/>
      <c r="K512" s="17"/>
      <c r="L512" s="19"/>
      <c r="M512" s="19"/>
      <c r="N512" s="20"/>
      <c r="O512" s="20"/>
      <c r="P512" s="21"/>
      <c r="Q512" s="20"/>
      <c r="R512" s="20"/>
      <c r="S512" s="22"/>
      <c r="T512" s="23"/>
      <c r="U512" s="23"/>
      <c r="V512" s="24"/>
      <c r="W512" s="24"/>
    </row>
    <row r="513">
      <c r="A513" s="11">
        <v>45438.0</v>
      </c>
      <c r="B513" s="17"/>
      <c r="C513" s="17"/>
      <c r="D513" s="17"/>
      <c r="E513" s="17"/>
      <c r="F513" s="18"/>
      <c r="G513" s="17"/>
      <c r="H513" s="17"/>
      <c r="I513" s="17"/>
      <c r="J513" s="17"/>
      <c r="K513" s="17"/>
      <c r="L513" s="19"/>
      <c r="M513" s="19"/>
      <c r="N513" s="20"/>
      <c r="O513" s="20"/>
      <c r="P513" s="21"/>
      <c r="Q513" s="20"/>
      <c r="R513" s="20"/>
      <c r="S513" s="22"/>
      <c r="T513" s="23"/>
      <c r="U513" s="23"/>
      <c r="V513" s="24"/>
      <c r="W513" s="24"/>
    </row>
    <row r="514">
      <c r="A514" s="11">
        <v>45439.0</v>
      </c>
      <c r="B514" s="17"/>
      <c r="C514" s="17"/>
      <c r="D514" s="17"/>
      <c r="E514" s="17"/>
      <c r="F514" s="18"/>
      <c r="G514" s="17"/>
      <c r="H514" s="17"/>
      <c r="I514" s="17"/>
      <c r="J514" s="17"/>
      <c r="K514" s="17"/>
      <c r="L514" s="19"/>
      <c r="M514" s="19"/>
      <c r="N514" s="20"/>
      <c r="O514" s="20"/>
      <c r="P514" s="21"/>
      <c r="Q514" s="20"/>
      <c r="R514" s="20"/>
      <c r="S514" s="22"/>
      <c r="T514" s="23"/>
      <c r="U514" s="23"/>
      <c r="V514" s="24"/>
      <c r="W514" s="24"/>
    </row>
    <row r="515">
      <c r="A515" s="11">
        <v>45440.0</v>
      </c>
      <c r="B515" s="17"/>
      <c r="C515" s="17"/>
      <c r="D515" s="17"/>
      <c r="E515" s="17"/>
      <c r="F515" s="18"/>
      <c r="G515" s="17"/>
      <c r="H515" s="17"/>
      <c r="I515" s="17"/>
      <c r="J515" s="17"/>
      <c r="K515" s="17"/>
      <c r="L515" s="19"/>
      <c r="M515" s="19"/>
      <c r="N515" s="20"/>
      <c r="O515" s="20"/>
      <c r="P515" s="21"/>
      <c r="Q515" s="20"/>
      <c r="R515" s="20"/>
      <c r="S515" s="22"/>
      <c r="T515" s="23"/>
      <c r="U515" s="23"/>
      <c r="V515" s="24"/>
      <c r="W515" s="24"/>
    </row>
    <row r="516">
      <c r="A516" s="11">
        <v>45441.0</v>
      </c>
      <c r="B516" s="17"/>
      <c r="C516" s="17"/>
      <c r="D516" s="17"/>
      <c r="E516" s="17"/>
      <c r="F516" s="18"/>
      <c r="G516" s="17"/>
      <c r="H516" s="17"/>
      <c r="I516" s="17"/>
      <c r="J516" s="17"/>
      <c r="K516" s="17"/>
      <c r="L516" s="19"/>
      <c r="M516" s="19"/>
      <c r="N516" s="20"/>
      <c r="O516" s="20"/>
      <c r="P516" s="21"/>
      <c r="Q516" s="20"/>
      <c r="R516" s="20"/>
      <c r="S516" s="22"/>
      <c r="T516" s="23"/>
      <c r="U516" s="23"/>
      <c r="V516" s="24"/>
      <c r="W516" s="24"/>
    </row>
    <row r="517">
      <c r="A517" s="11">
        <v>45442.0</v>
      </c>
      <c r="B517" s="17"/>
      <c r="C517" s="17"/>
      <c r="D517" s="17"/>
      <c r="E517" s="17"/>
      <c r="F517" s="18"/>
      <c r="G517" s="17"/>
      <c r="H517" s="17"/>
      <c r="I517" s="17"/>
      <c r="J517" s="17"/>
      <c r="K517" s="17"/>
      <c r="L517" s="19"/>
      <c r="M517" s="19"/>
      <c r="N517" s="20"/>
      <c r="O517" s="20"/>
      <c r="P517" s="21"/>
      <c r="Q517" s="20"/>
      <c r="R517" s="20"/>
      <c r="S517" s="22"/>
      <c r="T517" s="23"/>
      <c r="U517" s="23"/>
      <c r="V517" s="24"/>
      <c r="W517" s="24"/>
    </row>
    <row r="518">
      <c r="A518" s="11">
        <v>45443.0</v>
      </c>
      <c r="B518" s="17"/>
      <c r="C518" s="17"/>
      <c r="D518" s="17"/>
      <c r="E518" s="17"/>
      <c r="F518" s="18"/>
      <c r="G518" s="17"/>
      <c r="H518" s="17"/>
      <c r="I518" s="17"/>
      <c r="J518" s="17"/>
      <c r="K518" s="17"/>
      <c r="L518" s="19"/>
      <c r="M518" s="19"/>
      <c r="N518" s="20"/>
      <c r="O518" s="20"/>
      <c r="P518" s="21"/>
      <c r="Q518" s="20"/>
      <c r="R518" s="20"/>
      <c r="S518" s="22"/>
      <c r="T518" s="23"/>
      <c r="U518" s="23"/>
      <c r="V518" s="24"/>
      <c r="W518" s="24"/>
    </row>
    <row r="519">
      <c r="A519" s="11">
        <v>45444.0</v>
      </c>
      <c r="B519" s="17"/>
      <c r="C519" s="17"/>
      <c r="D519" s="17"/>
      <c r="E519" s="17"/>
      <c r="F519" s="18"/>
      <c r="G519" s="17"/>
      <c r="H519" s="17"/>
      <c r="I519" s="17"/>
      <c r="J519" s="17"/>
      <c r="K519" s="17"/>
      <c r="L519" s="19"/>
      <c r="M519" s="19"/>
      <c r="N519" s="20"/>
      <c r="O519" s="20"/>
      <c r="P519" s="21"/>
      <c r="Q519" s="20"/>
      <c r="R519" s="20"/>
      <c r="S519" s="22"/>
      <c r="T519" s="23"/>
      <c r="U519" s="23"/>
      <c r="V519" s="24"/>
      <c r="W519" s="24"/>
    </row>
    <row r="520">
      <c r="A520" s="11">
        <v>45445.0</v>
      </c>
      <c r="B520" s="17"/>
      <c r="C520" s="17"/>
      <c r="D520" s="17"/>
      <c r="E520" s="17"/>
      <c r="F520" s="18"/>
      <c r="G520" s="17"/>
      <c r="H520" s="17"/>
      <c r="I520" s="17"/>
      <c r="J520" s="17"/>
      <c r="K520" s="17"/>
      <c r="L520" s="19"/>
      <c r="M520" s="19"/>
      <c r="N520" s="20"/>
      <c r="O520" s="20"/>
      <c r="P520" s="21"/>
      <c r="Q520" s="20"/>
      <c r="R520" s="20"/>
      <c r="S520" s="22"/>
      <c r="T520" s="23"/>
      <c r="U520" s="23"/>
      <c r="V520" s="24"/>
      <c r="W520" s="24"/>
    </row>
    <row r="521">
      <c r="A521" s="11">
        <v>45446.0</v>
      </c>
      <c r="B521" s="17"/>
      <c r="C521" s="17"/>
      <c r="D521" s="17"/>
      <c r="E521" s="17"/>
      <c r="F521" s="18"/>
      <c r="G521" s="17"/>
      <c r="H521" s="17"/>
      <c r="I521" s="17"/>
      <c r="J521" s="17"/>
      <c r="K521" s="17"/>
      <c r="L521" s="19"/>
      <c r="M521" s="19"/>
      <c r="N521" s="20"/>
      <c r="O521" s="20"/>
      <c r="P521" s="21"/>
      <c r="Q521" s="20"/>
      <c r="R521" s="20"/>
      <c r="S521" s="22"/>
      <c r="T521" s="23"/>
      <c r="U521" s="23"/>
      <c r="V521" s="24"/>
      <c r="W521" s="24"/>
    </row>
    <row r="522">
      <c r="A522" s="11">
        <v>45447.0</v>
      </c>
      <c r="B522" s="17"/>
      <c r="C522" s="17"/>
      <c r="D522" s="17"/>
      <c r="E522" s="17"/>
      <c r="F522" s="18"/>
      <c r="G522" s="17"/>
      <c r="H522" s="17"/>
      <c r="I522" s="17"/>
      <c r="J522" s="17"/>
      <c r="K522" s="17"/>
      <c r="L522" s="19"/>
      <c r="M522" s="19"/>
      <c r="N522" s="20"/>
      <c r="O522" s="20"/>
      <c r="P522" s="21"/>
      <c r="Q522" s="20"/>
      <c r="R522" s="20"/>
      <c r="S522" s="22"/>
      <c r="T522" s="23"/>
      <c r="U522" s="23"/>
      <c r="V522" s="24"/>
      <c r="W522" s="24"/>
    </row>
    <row r="523">
      <c r="A523" s="11">
        <v>45448.0</v>
      </c>
      <c r="B523" s="17"/>
      <c r="C523" s="17"/>
      <c r="D523" s="17"/>
      <c r="E523" s="17"/>
      <c r="F523" s="18"/>
      <c r="G523" s="17"/>
      <c r="H523" s="17"/>
      <c r="I523" s="17"/>
      <c r="J523" s="17"/>
      <c r="K523" s="17"/>
      <c r="L523" s="19"/>
      <c r="M523" s="19"/>
      <c r="N523" s="20"/>
      <c r="O523" s="20"/>
      <c r="P523" s="21"/>
      <c r="Q523" s="20"/>
      <c r="R523" s="20"/>
      <c r="S523" s="22">
        <v>8.88</v>
      </c>
      <c r="T523" s="23" t="s">
        <v>49</v>
      </c>
      <c r="U523" s="23" t="s">
        <v>50</v>
      </c>
      <c r="V523" s="24"/>
      <c r="W523" s="24"/>
    </row>
    <row r="524">
      <c r="A524" s="11">
        <v>45449.0</v>
      </c>
      <c r="B524" s="17"/>
      <c r="C524" s="17"/>
      <c r="D524" s="17"/>
      <c r="E524" s="17"/>
      <c r="F524" s="18"/>
      <c r="G524" s="17"/>
      <c r="H524" s="17"/>
      <c r="I524" s="17"/>
      <c r="J524" s="17"/>
      <c r="K524" s="17"/>
      <c r="L524" s="19"/>
      <c r="M524" s="19"/>
      <c r="N524" s="20"/>
      <c r="O524" s="20"/>
      <c r="P524" s="21"/>
      <c r="Q524" s="20"/>
      <c r="R524" s="20"/>
      <c r="S524" s="22"/>
      <c r="T524" s="23"/>
      <c r="U524" s="23"/>
      <c r="V524" s="24"/>
      <c r="W524" s="24"/>
    </row>
    <row r="525">
      <c r="A525" s="11">
        <v>45450.0</v>
      </c>
      <c r="B525" s="17"/>
      <c r="C525" s="17"/>
      <c r="D525" s="17"/>
      <c r="E525" s="17"/>
      <c r="F525" s="18"/>
      <c r="G525" s="17"/>
      <c r="H525" s="17"/>
      <c r="I525" s="17"/>
      <c r="J525" s="17"/>
      <c r="K525" s="17"/>
      <c r="L525" s="19"/>
      <c r="M525" s="19"/>
      <c r="N525" s="20"/>
      <c r="O525" s="20"/>
      <c r="P525" s="21"/>
      <c r="Q525" s="20"/>
      <c r="R525" s="20"/>
      <c r="S525" s="22"/>
      <c r="T525" s="23"/>
      <c r="U525" s="23"/>
      <c r="V525" s="24"/>
      <c r="W525" s="24"/>
    </row>
    <row r="526">
      <c r="A526" s="11">
        <v>45451.0</v>
      </c>
      <c r="B526" s="17"/>
      <c r="C526" s="17"/>
      <c r="D526" s="17"/>
      <c r="E526" s="17"/>
      <c r="F526" s="18"/>
      <c r="G526" s="17"/>
      <c r="H526" s="17"/>
      <c r="I526" s="17"/>
      <c r="J526" s="17"/>
      <c r="K526" s="17"/>
      <c r="L526" s="19"/>
      <c r="M526" s="19"/>
      <c r="N526" s="20"/>
      <c r="O526" s="20"/>
      <c r="P526" s="21"/>
      <c r="Q526" s="20"/>
      <c r="R526" s="20"/>
      <c r="S526" s="22"/>
      <c r="T526" s="23"/>
      <c r="U526" s="23"/>
      <c r="V526" s="24"/>
      <c r="W526" s="24"/>
    </row>
    <row r="527">
      <c r="A527" s="11">
        <v>45452.0</v>
      </c>
      <c r="B527" s="17"/>
      <c r="C527" s="17"/>
      <c r="D527" s="17"/>
      <c r="E527" s="17"/>
      <c r="F527" s="18"/>
      <c r="G527" s="17"/>
      <c r="H527" s="17"/>
      <c r="I527" s="17"/>
      <c r="J527" s="17"/>
      <c r="K527" s="17"/>
      <c r="L527" s="19"/>
      <c r="M527" s="19"/>
      <c r="N527" s="20"/>
      <c r="O527" s="20"/>
      <c r="P527" s="21"/>
      <c r="Q527" s="20"/>
      <c r="R527" s="20"/>
      <c r="S527" s="22"/>
      <c r="T527" s="23"/>
      <c r="U527" s="23"/>
      <c r="V527" s="24"/>
      <c r="W527" s="24"/>
    </row>
    <row r="528">
      <c r="A528" s="11">
        <v>45453.0</v>
      </c>
      <c r="B528" s="17"/>
      <c r="C528" s="17"/>
      <c r="D528" s="17"/>
      <c r="E528" s="17"/>
      <c r="F528" s="18"/>
      <c r="G528" s="17"/>
      <c r="H528" s="17"/>
      <c r="I528" s="17"/>
      <c r="J528" s="17"/>
      <c r="K528" s="17"/>
      <c r="L528" s="19"/>
      <c r="M528" s="19"/>
      <c r="N528" s="20"/>
      <c r="O528" s="20"/>
      <c r="P528" s="21"/>
      <c r="Q528" s="20"/>
      <c r="R528" s="20"/>
      <c r="S528" s="22"/>
      <c r="T528" s="23"/>
      <c r="U528" s="23"/>
      <c r="V528" s="24"/>
      <c r="W528" s="24"/>
    </row>
    <row r="529">
      <c r="A529" s="11">
        <v>45454.0</v>
      </c>
      <c r="B529" s="17"/>
      <c r="C529" s="17"/>
      <c r="D529" s="17"/>
      <c r="E529" s="17"/>
      <c r="F529" s="18"/>
      <c r="G529" s="17"/>
      <c r="H529" s="17"/>
      <c r="I529" s="17"/>
      <c r="J529" s="17"/>
      <c r="K529" s="17"/>
      <c r="L529" s="19"/>
      <c r="M529" s="19"/>
      <c r="N529" s="20"/>
      <c r="O529" s="20"/>
      <c r="P529" s="21"/>
      <c r="Q529" s="20"/>
      <c r="R529" s="20"/>
      <c r="S529" s="22">
        <v>3.36</v>
      </c>
      <c r="T529" s="23" t="s">
        <v>51</v>
      </c>
      <c r="U529" s="23"/>
      <c r="V529" s="24"/>
      <c r="W529" s="24"/>
    </row>
    <row r="530">
      <c r="A530" s="11">
        <v>45455.0</v>
      </c>
      <c r="B530" s="17"/>
      <c r="C530" s="17"/>
      <c r="D530" s="17"/>
      <c r="E530" s="17"/>
      <c r="F530" s="18"/>
      <c r="G530" s="17"/>
      <c r="H530" s="17"/>
      <c r="I530" s="17"/>
      <c r="J530" s="17"/>
      <c r="K530" s="17"/>
      <c r="L530" s="19"/>
      <c r="M530" s="19"/>
      <c r="N530" s="20"/>
      <c r="O530" s="20"/>
      <c r="P530" s="21"/>
      <c r="Q530" s="20"/>
      <c r="R530" s="20"/>
      <c r="S530" s="22"/>
      <c r="T530" s="23"/>
      <c r="U530" s="23"/>
      <c r="V530" s="24"/>
      <c r="W530" s="24"/>
    </row>
    <row r="531">
      <c r="A531" s="11">
        <v>45456.0</v>
      </c>
      <c r="B531" s="17"/>
      <c r="C531" s="17"/>
      <c r="D531" s="17"/>
      <c r="E531" s="17"/>
      <c r="F531" s="18"/>
      <c r="G531" s="17"/>
      <c r="H531" s="17"/>
      <c r="I531" s="17"/>
      <c r="J531" s="17"/>
      <c r="K531" s="17"/>
      <c r="L531" s="19"/>
      <c r="M531" s="19"/>
      <c r="N531" s="20"/>
      <c r="O531" s="20"/>
      <c r="P531" s="21"/>
      <c r="Q531" s="20"/>
      <c r="R531" s="20"/>
      <c r="S531" s="22"/>
      <c r="T531" s="23"/>
      <c r="U531" s="23"/>
      <c r="V531" s="24"/>
      <c r="W531" s="24"/>
    </row>
    <row r="532">
      <c r="A532" s="11">
        <v>45457.0</v>
      </c>
      <c r="B532" s="17"/>
      <c r="C532" s="17"/>
      <c r="D532" s="17"/>
      <c r="E532" s="17"/>
      <c r="F532" s="18"/>
      <c r="G532" s="17"/>
      <c r="H532" s="17"/>
      <c r="I532" s="17"/>
      <c r="J532" s="17"/>
      <c r="K532" s="17"/>
      <c r="L532" s="19"/>
      <c r="M532" s="19"/>
      <c r="N532" s="20"/>
      <c r="O532" s="20"/>
      <c r="P532" s="21"/>
      <c r="Q532" s="20"/>
      <c r="R532" s="20"/>
      <c r="S532" s="22"/>
      <c r="T532" s="23"/>
      <c r="U532" s="23"/>
      <c r="V532" s="24"/>
      <c r="W532" s="24"/>
    </row>
    <row r="533">
      <c r="A533" s="11">
        <v>45458.0</v>
      </c>
      <c r="B533" s="17"/>
      <c r="C533" s="17"/>
      <c r="D533" s="17"/>
      <c r="E533" s="17"/>
      <c r="F533" s="18"/>
      <c r="G533" s="17"/>
      <c r="H533" s="17"/>
      <c r="I533" s="17"/>
      <c r="J533" s="17"/>
      <c r="K533" s="17"/>
      <c r="L533" s="19"/>
      <c r="M533" s="19"/>
      <c r="N533" s="20"/>
      <c r="O533" s="20"/>
      <c r="P533" s="21"/>
      <c r="Q533" s="20"/>
      <c r="R533" s="20"/>
      <c r="S533" s="22"/>
      <c r="T533" s="23"/>
      <c r="U533" s="23"/>
      <c r="V533" s="24"/>
      <c r="W533" s="24"/>
    </row>
    <row r="534">
      <c r="A534" s="11">
        <v>45459.0</v>
      </c>
      <c r="B534" s="17"/>
      <c r="C534" s="17"/>
      <c r="D534" s="17"/>
      <c r="E534" s="17"/>
      <c r="F534" s="18"/>
      <c r="G534" s="17"/>
      <c r="H534" s="17"/>
      <c r="I534" s="17"/>
      <c r="J534" s="17"/>
      <c r="K534" s="17"/>
      <c r="L534" s="19"/>
      <c r="M534" s="19"/>
      <c r="N534" s="20"/>
      <c r="O534" s="20"/>
      <c r="P534" s="21"/>
      <c r="Q534" s="20"/>
      <c r="R534" s="20"/>
      <c r="S534" s="22"/>
      <c r="T534" s="23"/>
      <c r="U534" s="23"/>
      <c r="V534" s="24"/>
      <c r="W534" s="24"/>
    </row>
    <row r="535">
      <c r="A535" s="11">
        <v>45460.0</v>
      </c>
      <c r="B535" s="17"/>
      <c r="C535" s="17"/>
      <c r="D535" s="17"/>
      <c r="E535" s="17"/>
      <c r="F535" s="18"/>
      <c r="G535" s="17"/>
      <c r="H535" s="17"/>
      <c r="I535" s="17"/>
      <c r="J535" s="17"/>
      <c r="K535" s="17"/>
      <c r="L535" s="19"/>
      <c r="M535" s="19"/>
      <c r="N535" s="20"/>
      <c r="O535" s="20"/>
      <c r="P535" s="21"/>
      <c r="Q535" s="20"/>
      <c r="R535" s="20"/>
      <c r="S535" s="22"/>
      <c r="T535" s="23"/>
      <c r="U535" s="23"/>
      <c r="V535" s="24"/>
      <c r="W535" s="24"/>
    </row>
    <row r="536">
      <c r="A536" s="11">
        <v>45461.0</v>
      </c>
      <c r="B536" s="17"/>
      <c r="C536" s="17"/>
      <c r="D536" s="17"/>
      <c r="E536" s="17"/>
      <c r="F536" s="18"/>
      <c r="G536" s="17"/>
      <c r="H536" s="17"/>
      <c r="I536" s="17"/>
      <c r="J536" s="17"/>
      <c r="K536" s="17"/>
      <c r="L536" s="19"/>
      <c r="M536" s="19"/>
      <c r="N536" s="20"/>
      <c r="O536" s="20"/>
      <c r="P536" s="21"/>
      <c r="Q536" s="20"/>
      <c r="R536" s="20"/>
      <c r="S536" s="22">
        <v>9.66</v>
      </c>
      <c r="T536" s="23" t="s">
        <v>52</v>
      </c>
      <c r="U536" s="23"/>
      <c r="V536" s="24"/>
      <c r="W536" s="24"/>
    </row>
    <row r="537">
      <c r="A537" s="11">
        <v>45462.0</v>
      </c>
      <c r="B537" s="17"/>
      <c r="C537" s="17"/>
      <c r="D537" s="17"/>
      <c r="E537" s="17"/>
      <c r="F537" s="18"/>
      <c r="G537" s="17"/>
      <c r="H537" s="17"/>
      <c r="I537" s="17"/>
      <c r="J537" s="17"/>
      <c r="K537" s="17"/>
      <c r="L537" s="19"/>
      <c r="M537" s="19"/>
      <c r="N537" s="20"/>
      <c r="O537" s="20"/>
      <c r="P537" s="21"/>
      <c r="Q537" s="20"/>
      <c r="R537" s="20"/>
      <c r="S537" s="22"/>
      <c r="T537" s="23"/>
      <c r="U537" s="23"/>
      <c r="V537" s="24"/>
      <c r="W537" s="24"/>
    </row>
    <row r="538">
      <c r="A538" s="11">
        <v>45463.0</v>
      </c>
      <c r="B538" s="17"/>
      <c r="C538" s="17"/>
      <c r="D538" s="17"/>
      <c r="E538" s="17"/>
      <c r="F538" s="18"/>
      <c r="G538" s="17"/>
      <c r="H538" s="17"/>
      <c r="I538" s="17"/>
      <c r="J538" s="17"/>
      <c r="K538" s="17"/>
      <c r="L538" s="19"/>
      <c r="M538" s="19"/>
      <c r="N538" s="20"/>
      <c r="O538" s="20"/>
      <c r="P538" s="21"/>
      <c r="Q538" s="20"/>
      <c r="R538" s="20"/>
      <c r="S538" s="22"/>
      <c r="T538" s="23"/>
      <c r="U538" s="23"/>
      <c r="V538" s="24"/>
      <c r="W538" s="24"/>
    </row>
    <row r="539">
      <c r="A539" s="11">
        <v>45464.0</v>
      </c>
      <c r="B539" s="17"/>
      <c r="C539" s="17"/>
      <c r="D539" s="17"/>
      <c r="E539" s="17"/>
      <c r="F539" s="18"/>
      <c r="G539" s="17"/>
      <c r="H539" s="17"/>
      <c r="I539" s="17"/>
      <c r="J539" s="17"/>
      <c r="K539" s="17"/>
      <c r="L539" s="19"/>
      <c r="M539" s="19"/>
      <c r="N539" s="20"/>
      <c r="O539" s="20"/>
      <c r="P539" s="21"/>
      <c r="Q539" s="20"/>
      <c r="R539" s="20"/>
      <c r="S539" s="22"/>
      <c r="T539" s="23"/>
      <c r="U539" s="23"/>
      <c r="V539" s="24"/>
      <c r="W539" s="24"/>
    </row>
    <row r="540">
      <c r="A540" s="11">
        <v>45465.0</v>
      </c>
      <c r="B540" s="17"/>
      <c r="C540" s="17"/>
      <c r="D540" s="17"/>
      <c r="E540" s="17"/>
      <c r="F540" s="18"/>
      <c r="G540" s="17"/>
      <c r="H540" s="17"/>
      <c r="I540" s="17"/>
      <c r="J540" s="17"/>
      <c r="K540" s="17"/>
      <c r="L540" s="19"/>
      <c r="M540" s="19"/>
      <c r="N540" s="20"/>
      <c r="O540" s="20"/>
      <c r="P540" s="21"/>
      <c r="Q540" s="20"/>
      <c r="R540" s="20"/>
      <c r="S540" s="22"/>
      <c r="T540" s="23"/>
      <c r="U540" s="23"/>
      <c r="V540" s="24"/>
      <c r="W540" s="24"/>
    </row>
    <row r="541">
      <c r="A541" s="11">
        <v>45466.0</v>
      </c>
      <c r="B541" s="17"/>
      <c r="C541" s="17"/>
      <c r="D541" s="17"/>
      <c r="E541" s="17"/>
      <c r="F541" s="18"/>
      <c r="G541" s="17"/>
      <c r="H541" s="17"/>
      <c r="I541" s="17"/>
      <c r="J541" s="17"/>
      <c r="K541" s="17"/>
      <c r="L541" s="19"/>
      <c r="M541" s="19"/>
      <c r="N541" s="20"/>
      <c r="O541" s="20"/>
      <c r="P541" s="21"/>
      <c r="Q541" s="20"/>
      <c r="R541" s="20"/>
      <c r="S541" s="22"/>
      <c r="T541" s="23"/>
      <c r="U541" s="23"/>
      <c r="V541" s="24"/>
      <c r="W541" s="24"/>
    </row>
    <row r="542">
      <c r="A542" s="11">
        <v>45467.0</v>
      </c>
      <c r="B542" s="17"/>
      <c r="C542" s="17"/>
      <c r="D542" s="17"/>
      <c r="E542" s="17"/>
      <c r="F542" s="18"/>
      <c r="G542" s="17"/>
      <c r="H542" s="17"/>
      <c r="I542" s="17"/>
      <c r="J542" s="17"/>
      <c r="K542" s="17"/>
      <c r="L542" s="19"/>
      <c r="M542" s="19"/>
      <c r="N542" s="20"/>
      <c r="O542" s="20"/>
      <c r="P542" s="21"/>
      <c r="Q542" s="20"/>
      <c r="R542" s="20"/>
      <c r="S542" s="22"/>
      <c r="T542" s="23"/>
      <c r="U542" s="23"/>
      <c r="V542" s="24"/>
      <c r="W542" s="24"/>
    </row>
    <row r="543">
      <c r="A543" s="11">
        <v>45468.0</v>
      </c>
      <c r="B543" s="17"/>
      <c r="C543" s="17"/>
      <c r="D543" s="17"/>
      <c r="E543" s="17"/>
      <c r="F543" s="18"/>
      <c r="G543" s="17"/>
      <c r="H543" s="17"/>
      <c r="I543" s="17"/>
      <c r="J543" s="17"/>
      <c r="K543" s="17"/>
      <c r="L543" s="19"/>
      <c r="M543" s="19"/>
      <c r="N543" s="20"/>
      <c r="O543" s="20"/>
      <c r="P543" s="21"/>
      <c r="Q543" s="20"/>
      <c r="R543" s="20"/>
      <c r="S543" s="22"/>
      <c r="T543" s="23"/>
      <c r="U543" s="23"/>
      <c r="V543" s="24"/>
      <c r="W543" s="24"/>
    </row>
    <row r="544">
      <c r="A544" s="11">
        <v>45469.0</v>
      </c>
      <c r="B544" s="17"/>
      <c r="C544" s="17"/>
      <c r="D544" s="17"/>
      <c r="E544" s="17"/>
      <c r="F544" s="18"/>
      <c r="G544" s="17"/>
      <c r="H544" s="17"/>
      <c r="I544" s="17"/>
      <c r="J544" s="17"/>
      <c r="K544" s="17"/>
      <c r="L544" s="19"/>
      <c r="M544" s="19"/>
      <c r="N544" s="20"/>
      <c r="O544" s="20"/>
      <c r="P544" s="21"/>
      <c r="Q544" s="20"/>
      <c r="R544" s="20"/>
      <c r="S544" s="22"/>
      <c r="T544" s="23"/>
      <c r="U544" s="23"/>
      <c r="V544" s="24"/>
      <c r="W544" s="24"/>
    </row>
    <row r="545">
      <c r="A545" s="11">
        <v>45470.0</v>
      </c>
      <c r="B545" s="17"/>
      <c r="C545" s="17"/>
      <c r="D545" s="17"/>
      <c r="E545" s="17"/>
      <c r="F545" s="18"/>
      <c r="G545" s="17"/>
      <c r="H545" s="17"/>
      <c r="I545" s="17"/>
      <c r="J545" s="17"/>
      <c r="K545" s="17"/>
      <c r="L545" s="19"/>
      <c r="M545" s="19"/>
      <c r="N545" s="20"/>
      <c r="O545" s="20"/>
      <c r="P545" s="21"/>
      <c r="Q545" s="20"/>
      <c r="R545" s="20"/>
      <c r="S545" s="22">
        <v>7.64</v>
      </c>
      <c r="T545" s="23" t="s">
        <v>53</v>
      </c>
      <c r="U545" s="23"/>
      <c r="V545" s="24"/>
      <c r="W545" s="24"/>
    </row>
    <row r="546">
      <c r="A546" s="11">
        <v>45471.0</v>
      </c>
      <c r="B546" s="17"/>
      <c r="C546" s="17"/>
      <c r="D546" s="17"/>
      <c r="E546" s="17"/>
      <c r="F546" s="18"/>
      <c r="G546" s="17"/>
      <c r="H546" s="17"/>
      <c r="I546" s="17"/>
      <c r="J546" s="17"/>
      <c r="K546" s="17"/>
      <c r="L546" s="19"/>
      <c r="M546" s="19"/>
      <c r="N546" s="20"/>
      <c r="O546" s="20"/>
      <c r="P546" s="21"/>
      <c r="Q546" s="20"/>
      <c r="R546" s="20"/>
      <c r="S546" s="22"/>
      <c r="T546" s="23"/>
      <c r="U546" s="23"/>
      <c r="V546" s="24"/>
      <c r="W546" s="24"/>
    </row>
    <row r="547">
      <c r="A547" s="11">
        <v>45472.0</v>
      </c>
      <c r="B547" s="17"/>
      <c r="C547" s="17"/>
      <c r="D547" s="17"/>
      <c r="E547" s="17"/>
      <c r="F547" s="18"/>
      <c r="G547" s="17"/>
      <c r="H547" s="17"/>
      <c r="I547" s="17"/>
      <c r="J547" s="17"/>
      <c r="K547" s="17"/>
      <c r="L547" s="19"/>
      <c r="M547" s="19"/>
      <c r="N547" s="20"/>
      <c r="O547" s="20"/>
      <c r="P547" s="21"/>
      <c r="Q547" s="20"/>
      <c r="R547" s="20"/>
      <c r="S547" s="22"/>
      <c r="T547" s="23"/>
      <c r="U547" s="23"/>
      <c r="V547" s="24"/>
      <c r="W547" s="24"/>
    </row>
    <row r="548">
      <c r="A548" s="11">
        <v>45473.0</v>
      </c>
      <c r="B548" s="17"/>
      <c r="C548" s="17"/>
      <c r="D548" s="17"/>
      <c r="E548" s="17"/>
      <c r="F548" s="18"/>
      <c r="G548" s="17"/>
      <c r="H548" s="17"/>
      <c r="I548" s="17"/>
      <c r="J548" s="17"/>
      <c r="K548" s="17"/>
      <c r="L548" s="19"/>
      <c r="M548" s="19"/>
      <c r="N548" s="20"/>
      <c r="O548" s="20"/>
      <c r="P548" s="21"/>
      <c r="Q548" s="20"/>
      <c r="R548" s="20"/>
      <c r="S548" s="22"/>
      <c r="T548" s="23"/>
      <c r="U548" s="23"/>
      <c r="V548" s="24"/>
      <c r="W548" s="24"/>
    </row>
    <row r="549">
      <c r="A549" s="11">
        <v>45474.0</v>
      </c>
      <c r="B549" s="17"/>
      <c r="C549" s="17"/>
      <c r="D549" s="17"/>
      <c r="E549" s="17"/>
      <c r="F549" s="18"/>
      <c r="G549" s="17"/>
      <c r="H549" s="17"/>
      <c r="I549" s="17"/>
      <c r="J549" s="17"/>
      <c r="K549" s="17"/>
      <c r="L549" s="19"/>
      <c r="M549" s="19"/>
      <c r="N549" s="20"/>
      <c r="O549" s="20"/>
      <c r="P549" s="21"/>
      <c r="Q549" s="20"/>
      <c r="R549" s="20"/>
      <c r="S549" s="22"/>
      <c r="T549" s="23"/>
      <c r="U549" s="23"/>
      <c r="V549" s="24"/>
      <c r="W549" s="24"/>
    </row>
    <row r="550">
      <c r="A550" s="11">
        <v>45475.0</v>
      </c>
      <c r="B550" s="17"/>
      <c r="C550" s="17"/>
      <c r="D550" s="17"/>
      <c r="E550" s="17"/>
      <c r="F550" s="18"/>
      <c r="G550" s="17"/>
      <c r="H550" s="17"/>
      <c r="I550" s="17"/>
      <c r="J550" s="17"/>
      <c r="K550" s="17"/>
      <c r="L550" s="19"/>
      <c r="M550" s="19"/>
      <c r="N550" s="20"/>
      <c r="O550" s="20"/>
      <c r="P550" s="21"/>
      <c r="Q550" s="20"/>
      <c r="R550" s="20"/>
      <c r="S550" s="22"/>
      <c r="T550" s="23"/>
      <c r="U550" s="23"/>
      <c r="V550" s="24"/>
      <c r="W550" s="24"/>
    </row>
    <row r="551">
      <c r="A551" s="11">
        <v>45476.0</v>
      </c>
      <c r="B551" s="17"/>
      <c r="C551" s="17"/>
      <c r="D551" s="17"/>
      <c r="E551" s="17"/>
      <c r="F551" s="18"/>
      <c r="G551" s="17"/>
      <c r="H551" s="17"/>
      <c r="I551" s="17"/>
      <c r="J551" s="17"/>
      <c r="K551" s="17"/>
      <c r="L551" s="19"/>
      <c r="M551" s="19"/>
      <c r="N551" s="20"/>
      <c r="O551" s="20"/>
      <c r="P551" s="21"/>
      <c r="Q551" s="20"/>
      <c r="R551" s="20"/>
      <c r="S551" s="22"/>
      <c r="T551" s="23"/>
      <c r="U551" s="23"/>
      <c r="V551" s="24"/>
      <c r="W551" s="24"/>
    </row>
    <row r="552">
      <c r="A552" s="11">
        <v>45477.0</v>
      </c>
      <c r="B552" s="17"/>
      <c r="C552" s="17"/>
      <c r="D552" s="17"/>
      <c r="E552" s="17"/>
      <c r="F552" s="18"/>
      <c r="G552" s="17"/>
      <c r="H552" s="17"/>
      <c r="I552" s="17"/>
      <c r="J552" s="17"/>
      <c r="K552" s="17"/>
      <c r="L552" s="19"/>
      <c r="M552" s="19"/>
      <c r="N552" s="20"/>
      <c r="O552" s="20"/>
      <c r="P552" s="21"/>
      <c r="Q552" s="20"/>
      <c r="R552" s="20"/>
      <c r="S552" s="22"/>
      <c r="T552" s="23"/>
      <c r="U552" s="23"/>
      <c r="V552" s="24"/>
      <c r="W552" s="24"/>
    </row>
    <row r="553">
      <c r="A553" s="11">
        <v>45478.0</v>
      </c>
      <c r="B553" s="17"/>
      <c r="C553" s="17"/>
      <c r="D553" s="17"/>
      <c r="E553" s="17"/>
      <c r="F553" s="18"/>
      <c r="G553" s="17"/>
      <c r="H553" s="17"/>
      <c r="I553" s="17"/>
      <c r="J553" s="17"/>
      <c r="K553" s="17"/>
      <c r="L553" s="19"/>
      <c r="M553" s="19"/>
      <c r="N553" s="20"/>
      <c r="O553" s="20"/>
      <c r="P553" s="21"/>
      <c r="Q553" s="20"/>
      <c r="R553" s="20"/>
      <c r="S553" s="22"/>
      <c r="T553" s="23"/>
      <c r="U553" s="23"/>
      <c r="V553" s="24"/>
      <c r="W553" s="24"/>
    </row>
    <row r="554">
      <c r="A554" s="11">
        <v>45479.0</v>
      </c>
      <c r="B554" s="17"/>
      <c r="C554" s="17"/>
      <c r="D554" s="17"/>
      <c r="E554" s="17"/>
      <c r="F554" s="18"/>
      <c r="G554" s="17"/>
      <c r="H554" s="17"/>
      <c r="I554" s="17"/>
      <c r="J554" s="17"/>
      <c r="K554" s="17"/>
      <c r="L554" s="19"/>
      <c r="M554" s="19"/>
      <c r="N554" s="20"/>
      <c r="O554" s="20"/>
      <c r="P554" s="21"/>
      <c r="Q554" s="20"/>
      <c r="R554" s="20"/>
      <c r="S554" s="22"/>
      <c r="T554" s="23"/>
      <c r="U554" s="23"/>
      <c r="V554" s="24"/>
      <c r="W554" s="24"/>
    </row>
    <row r="555">
      <c r="A555" s="11">
        <v>45480.0</v>
      </c>
      <c r="B555" s="17"/>
      <c r="C555" s="17"/>
      <c r="D555" s="17"/>
      <c r="E555" s="17"/>
      <c r="F555" s="18"/>
      <c r="G555" s="17"/>
      <c r="H555" s="17"/>
      <c r="I555" s="17"/>
      <c r="J555" s="17"/>
      <c r="K555" s="17"/>
      <c r="L555" s="19"/>
      <c r="M555" s="19"/>
      <c r="N555" s="20"/>
      <c r="O555" s="20"/>
      <c r="P555" s="21"/>
      <c r="Q555" s="20"/>
      <c r="R555" s="20"/>
      <c r="S555" s="22"/>
      <c r="T555" s="23"/>
      <c r="U555" s="23"/>
      <c r="V555" s="24"/>
      <c r="W555" s="24"/>
    </row>
    <row r="556">
      <c r="A556" s="11">
        <v>45481.0</v>
      </c>
      <c r="B556" s="17"/>
      <c r="C556" s="17"/>
      <c r="D556" s="17"/>
      <c r="E556" s="17"/>
      <c r="F556" s="18"/>
      <c r="G556" s="17"/>
      <c r="H556" s="17"/>
      <c r="I556" s="17"/>
      <c r="J556" s="17"/>
      <c r="K556" s="17"/>
      <c r="L556" s="19"/>
      <c r="M556" s="19"/>
      <c r="N556" s="20"/>
      <c r="O556" s="20"/>
      <c r="P556" s="21"/>
      <c r="Q556" s="20"/>
      <c r="R556" s="20"/>
      <c r="S556" s="22">
        <v>6.28</v>
      </c>
      <c r="T556" s="23" t="s">
        <v>54</v>
      </c>
      <c r="U556" s="23"/>
      <c r="V556" s="24"/>
      <c r="W556" s="24"/>
    </row>
    <row r="557">
      <c r="A557" s="11">
        <v>45482.0</v>
      </c>
      <c r="B557" s="17"/>
      <c r="C557" s="17"/>
      <c r="D557" s="17"/>
      <c r="E557" s="17"/>
      <c r="F557" s="18"/>
      <c r="G557" s="17"/>
      <c r="H557" s="17"/>
      <c r="I557" s="17"/>
      <c r="J557" s="17"/>
      <c r="K557" s="17"/>
      <c r="L557" s="19"/>
      <c r="M557" s="19"/>
      <c r="N557" s="20"/>
      <c r="O557" s="20"/>
      <c r="P557" s="21"/>
      <c r="Q557" s="20"/>
      <c r="R557" s="20"/>
      <c r="S557" s="22"/>
      <c r="T557" s="23"/>
      <c r="U557" s="23"/>
      <c r="V557" s="24"/>
      <c r="W557" s="24"/>
    </row>
    <row r="558">
      <c r="A558" s="11">
        <v>45483.0</v>
      </c>
      <c r="B558" s="17"/>
      <c r="C558" s="17"/>
      <c r="D558" s="17"/>
      <c r="E558" s="17"/>
      <c r="F558" s="18"/>
      <c r="G558" s="17"/>
      <c r="H558" s="17"/>
      <c r="I558" s="17"/>
      <c r="J558" s="17"/>
      <c r="K558" s="17"/>
      <c r="L558" s="19"/>
      <c r="M558" s="19"/>
      <c r="N558" s="20"/>
      <c r="O558" s="20"/>
      <c r="P558" s="21"/>
      <c r="Q558" s="20"/>
      <c r="R558" s="20"/>
      <c r="S558" s="22"/>
      <c r="T558" s="23"/>
      <c r="U558" s="23"/>
      <c r="V558" s="24"/>
      <c r="W558" s="24"/>
    </row>
    <row r="559">
      <c r="A559" s="11">
        <v>45484.0</v>
      </c>
      <c r="B559" s="17"/>
      <c r="C559" s="17"/>
      <c r="D559" s="17"/>
      <c r="E559" s="17"/>
      <c r="F559" s="18"/>
      <c r="G559" s="17"/>
      <c r="H559" s="17"/>
      <c r="I559" s="17"/>
      <c r="J559" s="17"/>
      <c r="K559" s="17"/>
      <c r="L559" s="19"/>
      <c r="M559" s="19"/>
      <c r="N559" s="20"/>
      <c r="O559" s="20"/>
      <c r="P559" s="21"/>
      <c r="Q559" s="20"/>
      <c r="R559" s="20"/>
      <c r="S559" s="22"/>
      <c r="T559" s="23"/>
      <c r="U559" s="23"/>
      <c r="V559" s="24"/>
      <c r="W559" s="24"/>
    </row>
    <row r="560">
      <c r="A560" s="11">
        <v>45485.0</v>
      </c>
      <c r="B560" s="17"/>
      <c r="C560" s="17"/>
      <c r="D560" s="17"/>
      <c r="E560" s="17"/>
      <c r="F560" s="18"/>
      <c r="G560" s="17"/>
      <c r="H560" s="17"/>
      <c r="I560" s="17"/>
      <c r="J560" s="17"/>
      <c r="K560" s="17"/>
      <c r="L560" s="19"/>
      <c r="M560" s="19"/>
      <c r="N560" s="20"/>
      <c r="O560" s="20"/>
      <c r="P560" s="21"/>
      <c r="Q560" s="20"/>
      <c r="R560" s="20"/>
      <c r="S560" s="22"/>
      <c r="T560" s="23"/>
      <c r="U560" s="23"/>
      <c r="V560" s="24"/>
      <c r="W560" s="24"/>
    </row>
    <row r="561">
      <c r="A561" s="11">
        <v>45486.0</v>
      </c>
      <c r="B561" s="17"/>
      <c r="C561" s="17"/>
      <c r="D561" s="17"/>
      <c r="E561" s="17"/>
      <c r="F561" s="18"/>
      <c r="G561" s="17"/>
      <c r="H561" s="17"/>
      <c r="I561" s="17"/>
      <c r="J561" s="17"/>
      <c r="K561" s="17"/>
      <c r="L561" s="19"/>
      <c r="M561" s="19"/>
      <c r="N561" s="20"/>
      <c r="O561" s="20"/>
      <c r="P561" s="21"/>
      <c r="Q561" s="20"/>
      <c r="R561" s="20"/>
      <c r="S561" s="22"/>
      <c r="T561" s="23"/>
      <c r="U561" s="23"/>
      <c r="V561" s="24"/>
      <c r="W561" s="24"/>
    </row>
    <row r="562">
      <c r="A562" s="11">
        <v>45487.0</v>
      </c>
      <c r="B562" s="17"/>
      <c r="C562" s="17"/>
      <c r="D562" s="17"/>
      <c r="E562" s="17"/>
      <c r="F562" s="18"/>
      <c r="G562" s="17"/>
      <c r="H562" s="17"/>
      <c r="I562" s="17"/>
      <c r="J562" s="17"/>
      <c r="K562" s="17"/>
      <c r="L562" s="19"/>
      <c r="M562" s="19"/>
      <c r="N562" s="20"/>
      <c r="O562" s="20"/>
      <c r="P562" s="21"/>
      <c r="Q562" s="20"/>
      <c r="R562" s="20"/>
      <c r="S562" s="22"/>
      <c r="T562" s="23"/>
      <c r="U562" s="23"/>
      <c r="V562" s="24"/>
      <c r="W562" s="24"/>
    </row>
    <row r="563">
      <c r="A563" s="11">
        <v>45488.0</v>
      </c>
      <c r="B563" s="17"/>
      <c r="C563" s="17"/>
      <c r="D563" s="17"/>
      <c r="E563" s="17"/>
      <c r="F563" s="18"/>
      <c r="G563" s="17"/>
      <c r="H563" s="17"/>
      <c r="I563" s="17"/>
      <c r="J563" s="17"/>
      <c r="K563" s="17"/>
      <c r="L563" s="19"/>
      <c r="M563" s="19"/>
      <c r="N563" s="20"/>
      <c r="O563" s="20"/>
      <c r="P563" s="21"/>
      <c r="Q563" s="20"/>
      <c r="R563" s="20"/>
      <c r="S563" s="22">
        <v>6.9</v>
      </c>
      <c r="T563" s="23" t="s">
        <v>55</v>
      </c>
      <c r="U563" s="23"/>
      <c r="V563" s="24"/>
      <c r="W563" s="24"/>
    </row>
    <row r="564">
      <c r="A564" s="11">
        <v>45489.0</v>
      </c>
      <c r="B564" s="17"/>
      <c r="C564" s="17"/>
      <c r="D564" s="17"/>
      <c r="E564" s="17"/>
      <c r="F564" s="18"/>
      <c r="G564" s="17"/>
      <c r="H564" s="17"/>
      <c r="I564" s="17"/>
      <c r="J564" s="17"/>
      <c r="K564" s="17"/>
      <c r="L564" s="19"/>
      <c r="M564" s="19"/>
      <c r="N564" s="20"/>
      <c r="O564" s="20"/>
      <c r="P564" s="21"/>
      <c r="Q564" s="20"/>
      <c r="R564" s="20"/>
      <c r="S564" s="22"/>
      <c r="T564" s="23"/>
      <c r="U564" s="23"/>
      <c r="V564" s="24"/>
      <c r="W564" s="24"/>
    </row>
    <row r="565">
      <c r="A565" s="11">
        <v>45490.0</v>
      </c>
      <c r="B565" s="17"/>
      <c r="C565" s="17"/>
      <c r="D565" s="17"/>
      <c r="E565" s="17"/>
      <c r="F565" s="18"/>
      <c r="G565" s="17"/>
      <c r="H565" s="17"/>
      <c r="I565" s="17"/>
      <c r="J565" s="17"/>
      <c r="K565" s="17"/>
      <c r="L565" s="19"/>
      <c r="M565" s="19"/>
      <c r="N565" s="20"/>
      <c r="O565" s="20"/>
      <c r="P565" s="21"/>
      <c r="Q565" s="20"/>
      <c r="R565" s="20"/>
      <c r="S565" s="22"/>
      <c r="T565" s="23"/>
      <c r="U565" s="23"/>
      <c r="V565" s="24"/>
      <c r="W565" s="24"/>
    </row>
    <row r="566">
      <c r="A566" s="11">
        <v>45491.0</v>
      </c>
      <c r="B566" s="17"/>
      <c r="C566" s="17"/>
      <c r="D566" s="17"/>
      <c r="E566" s="17"/>
      <c r="F566" s="18"/>
      <c r="G566" s="17"/>
      <c r="H566" s="17"/>
      <c r="I566" s="17"/>
      <c r="J566" s="17"/>
      <c r="K566" s="17"/>
      <c r="L566" s="19"/>
      <c r="M566" s="19"/>
      <c r="N566" s="20"/>
      <c r="O566" s="20"/>
      <c r="P566" s="21"/>
      <c r="Q566" s="20"/>
      <c r="R566" s="20"/>
      <c r="S566" s="22"/>
      <c r="T566" s="23"/>
      <c r="U566" s="23"/>
      <c r="V566" s="24"/>
      <c r="W566" s="24"/>
    </row>
    <row r="567">
      <c r="A567" s="11">
        <v>45492.0</v>
      </c>
      <c r="B567" s="17"/>
      <c r="C567" s="17"/>
      <c r="D567" s="17"/>
      <c r="E567" s="17"/>
      <c r="F567" s="18"/>
      <c r="G567" s="17"/>
      <c r="H567" s="17"/>
      <c r="I567" s="17"/>
      <c r="J567" s="17"/>
      <c r="K567" s="17"/>
      <c r="L567" s="19"/>
      <c r="M567" s="19"/>
      <c r="N567" s="20"/>
      <c r="O567" s="20"/>
      <c r="P567" s="21"/>
      <c r="Q567" s="20"/>
      <c r="R567" s="20"/>
      <c r="S567" s="22"/>
      <c r="T567" s="23"/>
      <c r="U567" s="23"/>
      <c r="V567" s="24"/>
      <c r="W567" s="24"/>
    </row>
    <row r="568">
      <c r="A568" s="11">
        <v>45493.0</v>
      </c>
      <c r="B568" s="17"/>
      <c r="C568" s="17"/>
      <c r="D568" s="17"/>
      <c r="E568" s="17"/>
      <c r="F568" s="18"/>
      <c r="G568" s="17"/>
      <c r="H568" s="17"/>
      <c r="I568" s="17"/>
      <c r="J568" s="17"/>
      <c r="K568" s="17"/>
      <c r="L568" s="19"/>
      <c r="M568" s="19"/>
      <c r="N568" s="20"/>
      <c r="O568" s="20"/>
      <c r="P568" s="21"/>
      <c r="Q568" s="20"/>
      <c r="R568" s="20"/>
      <c r="S568" s="22"/>
      <c r="T568" s="23"/>
      <c r="U568" s="23"/>
      <c r="V568" s="24"/>
      <c r="W568" s="24"/>
    </row>
    <row r="569">
      <c r="A569" s="11">
        <v>45494.0</v>
      </c>
      <c r="B569" s="17"/>
      <c r="C569" s="17"/>
      <c r="D569" s="17"/>
      <c r="E569" s="17"/>
      <c r="F569" s="18"/>
      <c r="G569" s="17"/>
      <c r="H569" s="17"/>
      <c r="I569" s="17"/>
      <c r="J569" s="17"/>
      <c r="K569" s="17"/>
      <c r="L569" s="19"/>
      <c r="M569" s="19"/>
      <c r="N569" s="20"/>
      <c r="O569" s="20"/>
      <c r="P569" s="21"/>
      <c r="Q569" s="20"/>
      <c r="R569" s="20"/>
      <c r="S569" s="22"/>
      <c r="T569" s="23"/>
      <c r="U569" s="23"/>
      <c r="V569" s="24"/>
      <c r="W569" s="24"/>
    </row>
    <row r="570">
      <c r="A570" s="11">
        <v>45495.0</v>
      </c>
      <c r="B570" s="17"/>
      <c r="C570" s="17"/>
      <c r="D570" s="17"/>
      <c r="E570" s="17"/>
      <c r="F570" s="18"/>
      <c r="G570" s="17"/>
      <c r="H570" s="17"/>
      <c r="I570" s="17"/>
      <c r="J570" s="17"/>
      <c r="K570" s="17"/>
      <c r="L570" s="19"/>
      <c r="M570" s="19"/>
      <c r="N570" s="20"/>
      <c r="O570" s="20"/>
      <c r="P570" s="21"/>
      <c r="Q570" s="20"/>
      <c r="R570" s="20"/>
      <c r="S570" s="22"/>
      <c r="T570" s="23"/>
      <c r="U570" s="23"/>
      <c r="V570" s="24"/>
      <c r="W570" s="24"/>
    </row>
    <row r="571">
      <c r="A571" s="11">
        <v>45496.0</v>
      </c>
      <c r="B571" s="17"/>
      <c r="C571" s="17"/>
      <c r="D571" s="17"/>
      <c r="E571" s="17"/>
      <c r="F571" s="18"/>
      <c r="G571" s="17"/>
      <c r="H571" s="17"/>
      <c r="I571" s="17"/>
      <c r="J571" s="17"/>
      <c r="K571" s="17"/>
      <c r="L571" s="19"/>
      <c r="M571" s="19"/>
      <c r="N571" s="20"/>
      <c r="O571" s="20"/>
      <c r="P571" s="21"/>
      <c r="Q571" s="20"/>
      <c r="R571" s="20"/>
      <c r="S571" s="22"/>
      <c r="T571" s="23"/>
      <c r="U571" s="23"/>
      <c r="V571" s="24"/>
      <c r="W571" s="24"/>
    </row>
    <row r="572">
      <c r="A572" s="11">
        <v>45497.0</v>
      </c>
      <c r="B572" s="17"/>
      <c r="C572" s="17"/>
      <c r="D572" s="17"/>
      <c r="E572" s="17"/>
      <c r="F572" s="18"/>
      <c r="G572" s="17"/>
      <c r="H572" s="17"/>
      <c r="I572" s="17"/>
      <c r="J572" s="17"/>
      <c r="K572" s="17"/>
      <c r="L572" s="19"/>
      <c r="M572" s="19"/>
      <c r="N572" s="20"/>
      <c r="O572" s="20"/>
      <c r="P572" s="21"/>
      <c r="Q572" s="20"/>
      <c r="R572" s="20"/>
      <c r="S572" s="22"/>
      <c r="T572" s="23"/>
      <c r="U572" s="23"/>
      <c r="V572" s="24"/>
      <c r="W572" s="24"/>
    </row>
    <row r="573">
      <c r="A573" s="11">
        <v>45498.0</v>
      </c>
      <c r="B573" s="17"/>
      <c r="C573" s="17"/>
      <c r="D573" s="17"/>
      <c r="E573" s="17"/>
      <c r="F573" s="18"/>
      <c r="G573" s="17"/>
      <c r="H573" s="17"/>
      <c r="I573" s="17"/>
      <c r="J573" s="17"/>
      <c r="K573" s="17"/>
      <c r="L573" s="19"/>
      <c r="M573" s="19"/>
      <c r="N573" s="20"/>
      <c r="O573" s="20"/>
      <c r="P573" s="21"/>
      <c r="Q573" s="20"/>
      <c r="R573" s="20"/>
      <c r="S573" s="22"/>
      <c r="T573" s="23"/>
      <c r="U573" s="23"/>
      <c r="V573" s="24"/>
      <c r="W573" s="24"/>
    </row>
    <row r="574">
      <c r="A574" s="11">
        <v>45499.0</v>
      </c>
      <c r="B574" s="17"/>
      <c r="C574" s="17"/>
      <c r="D574" s="17"/>
      <c r="E574" s="17"/>
      <c r="F574" s="18"/>
      <c r="G574" s="17"/>
      <c r="H574" s="17"/>
      <c r="I574" s="17"/>
      <c r="J574" s="17"/>
      <c r="K574" s="17"/>
      <c r="L574" s="19"/>
      <c r="M574" s="19"/>
      <c r="N574" s="20"/>
      <c r="O574" s="20"/>
      <c r="P574" s="21"/>
      <c r="Q574" s="20"/>
      <c r="R574" s="20"/>
      <c r="S574" s="22">
        <v>9.74</v>
      </c>
      <c r="T574" s="23" t="s">
        <v>56</v>
      </c>
      <c r="U574" s="23"/>
      <c r="V574" s="24"/>
      <c r="W574" s="24"/>
    </row>
    <row r="575">
      <c r="A575" s="11">
        <v>45500.0</v>
      </c>
      <c r="B575" s="17"/>
      <c r="C575" s="17"/>
      <c r="D575" s="17"/>
      <c r="E575" s="17"/>
      <c r="F575" s="18"/>
      <c r="G575" s="17"/>
      <c r="H575" s="17"/>
      <c r="I575" s="17"/>
      <c r="J575" s="17"/>
      <c r="K575" s="17"/>
      <c r="L575" s="19"/>
      <c r="M575" s="19"/>
      <c r="N575" s="20"/>
      <c r="O575" s="20"/>
      <c r="P575" s="21"/>
      <c r="Q575" s="20"/>
      <c r="R575" s="20"/>
      <c r="S575" s="22"/>
      <c r="T575" s="23"/>
      <c r="U575" s="23"/>
      <c r="V575" s="24"/>
      <c r="W575" s="24"/>
    </row>
    <row r="576">
      <c r="A576" s="11">
        <v>45501.0</v>
      </c>
      <c r="B576" s="17"/>
      <c r="C576" s="17"/>
      <c r="D576" s="17"/>
      <c r="E576" s="17"/>
      <c r="F576" s="18"/>
      <c r="G576" s="17"/>
      <c r="H576" s="17"/>
      <c r="I576" s="17"/>
      <c r="J576" s="17"/>
      <c r="K576" s="17"/>
      <c r="L576" s="19"/>
      <c r="M576" s="19"/>
      <c r="N576" s="20"/>
      <c r="O576" s="20"/>
      <c r="P576" s="21"/>
      <c r="Q576" s="20"/>
      <c r="R576" s="20"/>
      <c r="S576" s="22"/>
      <c r="T576" s="23"/>
      <c r="U576" s="23"/>
      <c r="V576" s="24"/>
      <c r="W576" s="24"/>
    </row>
    <row r="577">
      <c r="A577" s="11">
        <v>45502.0</v>
      </c>
      <c r="B577" s="17"/>
      <c r="C577" s="17"/>
      <c r="D577" s="17"/>
      <c r="E577" s="17"/>
      <c r="F577" s="18"/>
      <c r="G577" s="17"/>
      <c r="H577" s="17"/>
      <c r="I577" s="17"/>
      <c r="J577" s="17"/>
      <c r="K577" s="17"/>
      <c r="L577" s="19"/>
      <c r="M577" s="19"/>
      <c r="N577" s="20"/>
      <c r="O577" s="20"/>
      <c r="P577" s="21"/>
      <c r="Q577" s="20"/>
      <c r="R577" s="20"/>
      <c r="S577" s="22"/>
      <c r="T577" s="23"/>
      <c r="U577" s="23"/>
      <c r="V577" s="24"/>
      <c r="W577" s="24"/>
    </row>
    <row r="578">
      <c r="A578" s="11">
        <v>45503.0</v>
      </c>
      <c r="B578" s="17"/>
      <c r="C578" s="17"/>
      <c r="D578" s="17"/>
      <c r="E578" s="17"/>
      <c r="F578" s="18"/>
      <c r="G578" s="17"/>
      <c r="H578" s="17"/>
      <c r="I578" s="17"/>
      <c r="J578" s="17"/>
      <c r="K578" s="17"/>
      <c r="L578" s="19"/>
      <c r="M578" s="19"/>
      <c r="N578" s="20"/>
      <c r="O578" s="20"/>
      <c r="P578" s="21"/>
      <c r="Q578" s="20"/>
      <c r="R578" s="20"/>
      <c r="S578" s="22"/>
      <c r="T578" s="23"/>
      <c r="U578" s="23"/>
      <c r="V578" s="24"/>
      <c r="W578" s="24"/>
    </row>
    <row r="579">
      <c r="A579" s="11">
        <v>45504.0</v>
      </c>
      <c r="B579" s="17"/>
      <c r="C579" s="17"/>
      <c r="D579" s="17"/>
      <c r="E579" s="17"/>
      <c r="F579" s="18"/>
      <c r="G579" s="17"/>
      <c r="H579" s="17"/>
      <c r="I579" s="17"/>
      <c r="J579" s="17"/>
      <c r="K579" s="17"/>
      <c r="L579" s="19"/>
      <c r="M579" s="19"/>
      <c r="N579" s="20"/>
      <c r="O579" s="20"/>
      <c r="P579" s="21"/>
      <c r="Q579" s="20"/>
      <c r="R579" s="20"/>
      <c r="S579" s="22"/>
      <c r="T579" s="23"/>
      <c r="U579" s="23"/>
      <c r="V579" s="24"/>
      <c r="W579" s="24"/>
    </row>
    <row r="580">
      <c r="A580" s="11">
        <v>45505.0</v>
      </c>
      <c r="B580" s="17"/>
      <c r="C580" s="17"/>
      <c r="D580" s="17"/>
      <c r="E580" s="17"/>
      <c r="F580" s="18"/>
      <c r="G580" s="17"/>
      <c r="H580" s="17"/>
      <c r="I580" s="17"/>
      <c r="J580" s="17"/>
      <c r="K580" s="17"/>
      <c r="L580" s="19"/>
      <c r="M580" s="19"/>
      <c r="N580" s="20"/>
      <c r="O580" s="20"/>
      <c r="P580" s="21"/>
      <c r="Q580" s="20"/>
      <c r="R580" s="20"/>
      <c r="S580" s="22"/>
      <c r="T580" s="23"/>
      <c r="U580" s="23"/>
      <c r="V580" s="24"/>
      <c r="W580" s="24"/>
    </row>
    <row r="581">
      <c r="A581" s="11">
        <v>45506.0</v>
      </c>
      <c r="B581" s="17"/>
      <c r="C581" s="17"/>
      <c r="D581" s="17"/>
      <c r="E581" s="17"/>
      <c r="F581" s="18"/>
      <c r="G581" s="17"/>
      <c r="H581" s="17"/>
      <c r="I581" s="17"/>
      <c r="J581" s="17"/>
      <c r="K581" s="17"/>
      <c r="L581" s="19"/>
      <c r="M581" s="19"/>
      <c r="N581" s="20"/>
      <c r="O581" s="20"/>
      <c r="P581" s="21"/>
      <c r="Q581" s="20"/>
      <c r="R581" s="20"/>
      <c r="S581" s="22"/>
      <c r="T581" s="23"/>
      <c r="U581" s="23"/>
      <c r="V581" s="24"/>
      <c r="W581" s="24"/>
    </row>
    <row r="582">
      <c r="A582" s="11">
        <v>45507.0</v>
      </c>
      <c r="B582" s="17"/>
      <c r="C582" s="17"/>
      <c r="D582" s="17"/>
      <c r="E582" s="17"/>
      <c r="F582" s="18"/>
      <c r="G582" s="17"/>
      <c r="H582" s="17"/>
      <c r="I582" s="17"/>
      <c r="J582" s="17"/>
      <c r="K582" s="17"/>
      <c r="L582" s="19"/>
      <c r="M582" s="19"/>
      <c r="N582" s="20"/>
      <c r="O582" s="20"/>
      <c r="P582" s="21"/>
      <c r="Q582" s="20"/>
      <c r="R582" s="20"/>
      <c r="S582" s="22"/>
      <c r="T582" s="23"/>
      <c r="U582" s="23"/>
      <c r="V582" s="24"/>
      <c r="W582" s="24"/>
    </row>
    <row r="583">
      <c r="A583" s="11">
        <v>45508.0</v>
      </c>
      <c r="B583" s="17"/>
      <c r="C583" s="17"/>
      <c r="D583" s="17"/>
      <c r="E583" s="17"/>
      <c r="F583" s="18"/>
      <c r="G583" s="17"/>
      <c r="H583" s="17"/>
      <c r="I583" s="17"/>
      <c r="J583" s="17"/>
      <c r="K583" s="17"/>
      <c r="L583" s="19"/>
      <c r="M583" s="19"/>
      <c r="N583" s="20"/>
      <c r="O583" s="20"/>
      <c r="P583" s="21"/>
      <c r="Q583" s="20"/>
      <c r="R583" s="20"/>
      <c r="S583" s="22"/>
      <c r="T583" s="23"/>
      <c r="U583" s="23"/>
      <c r="V583" s="24"/>
      <c r="W583" s="24"/>
    </row>
    <row r="584">
      <c r="A584" s="11">
        <v>45509.0</v>
      </c>
      <c r="B584" s="17"/>
      <c r="C584" s="17"/>
      <c r="D584" s="17"/>
      <c r="E584" s="17"/>
      <c r="F584" s="18"/>
      <c r="G584" s="17"/>
      <c r="H584" s="17"/>
      <c r="I584" s="17"/>
      <c r="J584" s="17"/>
      <c r="K584" s="17"/>
      <c r="L584" s="19"/>
      <c r="M584" s="19"/>
      <c r="N584" s="20"/>
      <c r="O584" s="20"/>
      <c r="P584" s="21"/>
      <c r="Q584" s="20"/>
      <c r="R584" s="20"/>
      <c r="S584" s="22"/>
      <c r="T584" s="23"/>
      <c r="U584" s="23"/>
      <c r="V584" s="24"/>
      <c r="W584" s="24"/>
    </row>
    <row r="585">
      <c r="A585" s="11">
        <v>45510.0</v>
      </c>
      <c r="B585" s="17"/>
      <c r="C585" s="17"/>
      <c r="D585" s="17"/>
      <c r="E585" s="17"/>
      <c r="F585" s="18"/>
      <c r="G585" s="17"/>
      <c r="H585" s="17"/>
      <c r="I585" s="17"/>
      <c r="J585" s="17"/>
      <c r="K585" s="17"/>
      <c r="L585" s="19"/>
      <c r="M585" s="19"/>
      <c r="N585" s="20"/>
      <c r="O585" s="20"/>
      <c r="P585" s="21"/>
      <c r="Q585" s="20"/>
      <c r="R585" s="20"/>
      <c r="S585" s="22">
        <v>8.58</v>
      </c>
      <c r="T585" s="23" t="s">
        <v>57</v>
      </c>
      <c r="U585" s="23"/>
      <c r="V585" s="24"/>
      <c r="W585" s="24"/>
    </row>
    <row r="586">
      <c r="A586" s="11">
        <v>45511.0</v>
      </c>
      <c r="B586" s="17"/>
      <c r="C586" s="17"/>
      <c r="D586" s="17"/>
      <c r="E586" s="17"/>
      <c r="F586" s="18"/>
      <c r="G586" s="17"/>
      <c r="H586" s="17"/>
      <c r="I586" s="17"/>
      <c r="J586" s="17"/>
      <c r="K586" s="17"/>
      <c r="L586" s="19"/>
      <c r="M586" s="19"/>
      <c r="N586" s="20"/>
      <c r="O586" s="20"/>
      <c r="P586" s="21"/>
      <c r="Q586" s="20"/>
      <c r="R586" s="20"/>
      <c r="S586" s="22"/>
      <c r="T586" s="23"/>
      <c r="U586" s="23"/>
      <c r="V586" s="24"/>
      <c r="W586" s="24"/>
    </row>
    <row r="587">
      <c r="A587" s="11">
        <v>45512.0</v>
      </c>
      <c r="B587" s="17"/>
      <c r="C587" s="17"/>
      <c r="D587" s="17"/>
      <c r="E587" s="17"/>
      <c r="F587" s="18"/>
      <c r="G587" s="17"/>
      <c r="H587" s="17"/>
      <c r="I587" s="17"/>
      <c r="J587" s="17"/>
      <c r="K587" s="17"/>
      <c r="L587" s="19"/>
      <c r="M587" s="19"/>
      <c r="N587" s="20"/>
      <c r="O587" s="20"/>
      <c r="P587" s="21"/>
      <c r="Q587" s="20"/>
      <c r="R587" s="20"/>
      <c r="S587" s="22"/>
      <c r="T587" s="23"/>
      <c r="U587" s="23"/>
      <c r="V587" s="24"/>
      <c r="W587" s="24"/>
    </row>
    <row r="588">
      <c r="A588" s="11">
        <v>45513.0</v>
      </c>
      <c r="B588" s="17"/>
      <c r="C588" s="17"/>
      <c r="D588" s="17"/>
      <c r="E588" s="17"/>
      <c r="F588" s="18"/>
      <c r="G588" s="17"/>
      <c r="H588" s="17"/>
      <c r="I588" s="17"/>
      <c r="J588" s="17"/>
      <c r="K588" s="17"/>
      <c r="L588" s="19"/>
      <c r="M588" s="19"/>
      <c r="N588" s="20"/>
      <c r="O588" s="20"/>
      <c r="P588" s="21"/>
      <c r="Q588" s="20"/>
      <c r="R588" s="20"/>
      <c r="S588" s="22"/>
      <c r="T588" s="23"/>
      <c r="U588" s="23"/>
      <c r="V588" s="24"/>
      <c r="W588" s="24"/>
    </row>
    <row r="589">
      <c r="A589" s="11">
        <v>45514.0</v>
      </c>
      <c r="B589" s="17"/>
      <c r="C589" s="17"/>
      <c r="D589" s="17"/>
      <c r="E589" s="17"/>
      <c r="F589" s="18"/>
      <c r="G589" s="17"/>
      <c r="H589" s="17"/>
      <c r="I589" s="17"/>
      <c r="J589" s="17"/>
      <c r="K589" s="17"/>
      <c r="L589" s="19"/>
      <c r="M589" s="19"/>
      <c r="N589" s="20"/>
      <c r="O589" s="20"/>
      <c r="P589" s="21"/>
      <c r="Q589" s="20"/>
      <c r="R589" s="20"/>
      <c r="S589" s="22"/>
      <c r="T589" s="23"/>
      <c r="U589" s="23"/>
      <c r="V589" s="24"/>
      <c r="W589" s="24"/>
    </row>
    <row r="590">
      <c r="A590" s="11">
        <v>45515.0</v>
      </c>
      <c r="B590" s="17"/>
      <c r="C590" s="17"/>
      <c r="D590" s="17"/>
      <c r="E590" s="17"/>
      <c r="F590" s="18"/>
      <c r="G590" s="17"/>
      <c r="H590" s="17"/>
      <c r="I590" s="17"/>
      <c r="J590" s="17"/>
      <c r="K590" s="17"/>
      <c r="L590" s="19"/>
      <c r="M590" s="19"/>
      <c r="N590" s="20"/>
      <c r="O590" s="20"/>
      <c r="P590" s="21"/>
      <c r="Q590" s="20"/>
      <c r="R590" s="20"/>
      <c r="S590" s="22"/>
      <c r="T590" s="23"/>
      <c r="U590" s="23"/>
      <c r="V590" s="24"/>
      <c r="W590" s="24"/>
    </row>
    <row r="591">
      <c r="A591" s="11">
        <v>45516.0</v>
      </c>
      <c r="B591" s="17"/>
      <c r="C591" s="17"/>
      <c r="D591" s="17"/>
      <c r="E591" s="17"/>
      <c r="F591" s="18"/>
      <c r="G591" s="17"/>
      <c r="H591" s="17"/>
      <c r="I591" s="17"/>
      <c r="J591" s="17"/>
      <c r="K591" s="17"/>
      <c r="L591" s="19"/>
      <c r="M591" s="19"/>
      <c r="N591" s="20"/>
      <c r="O591" s="20"/>
      <c r="P591" s="21"/>
      <c r="Q591" s="20"/>
      <c r="R591" s="20"/>
      <c r="S591" s="22">
        <v>5.1</v>
      </c>
      <c r="T591" s="23" t="s">
        <v>58</v>
      </c>
      <c r="U591" s="23"/>
      <c r="V591" s="24"/>
      <c r="W591" s="24"/>
    </row>
    <row r="592">
      <c r="A592" s="11">
        <v>45517.0</v>
      </c>
      <c r="B592" s="17"/>
      <c r="C592" s="17"/>
      <c r="D592" s="17"/>
      <c r="E592" s="17"/>
      <c r="F592" s="18"/>
      <c r="G592" s="17"/>
      <c r="H592" s="17"/>
      <c r="I592" s="17"/>
      <c r="J592" s="17"/>
      <c r="K592" s="17"/>
      <c r="L592" s="19"/>
      <c r="M592" s="19"/>
      <c r="N592" s="20"/>
      <c r="O592" s="20"/>
      <c r="P592" s="21"/>
      <c r="Q592" s="20"/>
      <c r="R592" s="20"/>
      <c r="S592" s="22"/>
      <c r="T592" s="23"/>
      <c r="U592" s="23"/>
      <c r="V592" s="24"/>
      <c r="W592" s="24"/>
    </row>
    <row r="593">
      <c r="A593" s="11">
        <v>45518.0</v>
      </c>
      <c r="B593" s="17"/>
      <c r="C593" s="17"/>
      <c r="D593" s="17"/>
      <c r="E593" s="17"/>
      <c r="F593" s="18"/>
      <c r="G593" s="17"/>
      <c r="H593" s="17"/>
      <c r="I593" s="17"/>
      <c r="J593" s="17"/>
      <c r="K593" s="17"/>
      <c r="L593" s="19"/>
      <c r="M593" s="19"/>
      <c r="N593" s="20"/>
      <c r="O593" s="20"/>
      <c r="P593" s="21"/>
      <c r="Q593" s="20"/>
      <c r="R593" s="20"/>
      <c r="S593" s="22"/>
      <c r="T593" s="23"/>
      <c r="U593" s="23"/>
      <c r="V593" s="24"/>
      <c r="W593" s="24"/>
    </row>
    <row r="594">
      <c r="A594" s="11">
        <v>45519.0</v>
      </c>
      <c r="B594" s="17"/>
      <c r="C594" s="17"/>
      <c r="D594" s="17"/>
      <c r="E594" s="17"/>
      <c r="F594" s="18"/>
      <c r="G594" s="17"/>
      <c r="H594" s="17"/>
      <c r="I594" s="17"/>
      <c r="J594" s="17"/>
      <c r="K594" s="17"/>
      <c r="L594" s="19"/>
      <c r="M594" s="19"/>
      <c r="N594" s="20"/>
      <c r="O594" s="20"/>
      <c r="P594" s="21"/>
      <c r="Q594" s="20"/>
      <c r="R594" s="20"/>
      <c r="S594" s="22"/>
      <c r="T594" s="23"/>
      <c r="U594" s="23"/>
      <c r="V594" s="24"/>
      <c r="W594" s="24"/>
    </row>
    <row r="595">
      <c r="A595" s="11">
        <v>45520.0</v>
      </c>
      <c r="B595" s="17"/>
      <c r="C595" s="17"/>
      <c r="D595" s="17"/>
      <c r="E595" s="17"/>
      <c r="F595" s="18"/>
      <c r="G595" s="17"/>
      <c r="H595" s="17"/>
      <c r="I595" s="17"/>
      <c r="J595" s="17"/>
      <c r="K595" s="17"/>
      <c r="L595" s="19"/>
      <c r="M595" s="19"/>
      <c r="N595" s="20"/>
      <c r="O595" s="20"/>
      <c r="P595" s="21"/>
      <c r="Q595" s="20"/>
      <c r="R595" s="20"/>
      <c r="S595" s="22"/>
      <c r="T595" s="23"/>
      <c r="U595" s="23"/>
      <c r="V595" s="24"/>
      <c r="W595" s="24"/>
    </row>
    <row r="596">
      <c r="A596" s="11">
        <v>45521.0</v>
      </c>
      <c r="B596" s="17"/>
      <c r="C596" s="17"/>
      <c r="D596" s="17"/>
      <c r="E596" s="17"/>
      <c r="F596" s="18"/>
      <c r="G596" s="17"/>
      <c r="H596" s="17"/>
      <c r="I596" s="17"/>
      <c r="J596" s="17"/>
      <c r="K596" s="17"/>
      <c r="L596" s="19"/>
      <c r="M596" s="19"/>
      <c r="N596" s="20"/>
      <c r="O596" s="20"/>
      <c r="P596" s="21"/>
      <c r="Q596" s="20"/>
      <c r="R596" s="20"/>
      <c r="S596" s="22"/>
      <c r="T596" s="23"/>
      <c r="U596" s="23"/>
      <c r="V596" s="24"/>
      <c r="W596" s="24"/>
    </row>
    <row r="597">
      <c r="A597" s="11">
        <v>45522.0</v>
      </c>
      <c r="B597" s="17"/>
      <c r="C597" s="17"/>
      <c r="D597" s="17"/>
      <c r="E597" s="17"/>
      <c r="F597" s="18"/>
      <c r="G597" s="17"/>
      <c r="H597" s="17"/>
      <c r="I597" s="17"/>
      <c r="J597" s="17"/>
      <c r="K597" s="17"/>
      <c r="L597" s="19"/>
      <c r="M597" s="19"/>
      <c r="N597" s="20"/>
      <c r="O597" s="20"/>
      <c r="P597" s="21"/>
      <c r="Q597" s="20"/>
      <c r="R597" s="20"/>
      <c r="S597" s="22"/>
      <c r="T597" s="23"/>
      <c r="U597" s="23"/>
      <c r="V597" s="24"/>
      <c r="W597" s="24"/>
    </row>
    <row r="598">
      <c r="A598" s="11">
        <v>45523.0</v>
      </c>
      <c r="B598" s="17"/>
      <c r="C598" s="17"/>
      <c r="D598" s="17"/>
      <c r="E598" s="17"/>
      <c r="F598" s="18"/>
      <c r="G598" s="17"/>
      <c r="H598" s="17"/>
      <c r="I598" s="17"/>
      <c r="J598" s="17"/>
      <c r="K598" s="17"/>
      <c r="L598" s="19"/>
      <c r="M598" s="19"/>
      <c r="N598" s="20"/>
      <c r="O598" s="20"/>
      <c r="P598" s="21"/>
      <c r="Q598" s="20"/>
      <c r="R598" s="20"/>
      <c r="S598" s="22"/>
      <c r="T598" s="23"/>
      <c r="U598" s="23"/>
      <c r="V598" s="24"/>
      <c r="W598" s="24"/>
    </row>
    <row r="599">
      <c r="A599" s="11">
        <v>45524.0</v>
      </c>
      <c r="B599" s="17"/>
      <c r="C599" s="17"/>
      <c r="D599" s="17"/>
      <c r="E599" s="17"/>
      <c r="F599" s="18"/>
      <c r="G599" s="17"/>
      <c r="H599" s="17"/>
      <c r="I599" s="17"/>
      <c r="J599" s="17"/>
      <c r="K599" s="17"/>
      <c r="L599" s="19"/>
      <c r="M599" s="19"/>
      <c r="N599" s="20"/>
      <c r="O599" s="20"/>
      <c r="P599" s="21"/>
      <c r="Q599" s="20"/>
      <c r="R599" s="20"/>
      <c r="S599" s="22"/>
      <c r="T599" s="23"/>
      <c r="U599" s="23"/>
      <c r="V599" s="24"/>
      <c r="W599" s="24"/>
    </row>
    <row r="600">
      <c r="A600" s="11">
        <v>45525.0</v>
      </c>
      <c r="B600" s="17"/>
      <c r="C600" s="17"/>
      <c r="D600" s="17"/>
      <c r="E600" s="17"/>
      <c r="F600" s="18"/>
      <c r="G600" s="17"/>
      <c r="H600" s="17"/>
      <c r="I600" s="17"/>
      <c r="J600" s="17"/>
      <c r="K600" s="17"/>
      <c r="L600" s="19"/>
      <c r="M600" s="19"/>
      <c r="N600" s="20"/>
      <c r="O600" s="20"/>
      <c r="P600" s="21"/>
      <c r="Q600" s="20"/>
      <c r="R600" s="20"/>
      <c r="S600" s="22"/>
      <c r="T600" s="23"/>
      <c r="U600" s="23"/>
      <c r="V600" s="24"/>
      <c r="W600" s="24"/>
    </row>
    <row r="601">
      <c r="A601" s="11">
        <v>45526.0</v>
      </c>
      <c r="B601" s="17"/>
      <c r="C601" s="17"/>
      <c r="D601" s="17"/>
      <c r="E601" s="17"/>
      <c r="F601" s="18"/>
      <c r="G601" s="17"/>
      <c r="H601" s="17"/>
      <c r="I601" s="17"/>
      <c r="J601" s="17"/>
      <c r="K601" s="17"/>
      <c r="L601" s="19"/>
      <c r="M601" s="19"/>
      <c r="N601" s="20"/>
      <c r="O601" s="20"/>
      <c r="P601" s="21"/>
      <c r="Q601" s="20"/>
      <c r="R601" s="20"/>
      <c r="S601" s="22"/>
      <c r="T601" s="23"/>
      <c r="U601" s="23"/>
      <c r="V601" s="24"/>
      <c r="W601" s="24"/>
    </row>
    <row r="602">
      <c r="A602" s="11">
        <v>45527.0</v>
      </c>
      <c r="B602" s="17"/>
      <c r="C602" s="17"/>
      <c r="D602" s="17"/>
      <c r="E602" s="17"/>
      <c r="F602" s="18"/>
      <c r="G602" s="17"/>
      <c r="H602" s="17"/>
      <c r="I602" s="17"/>
      <c r="J602" s="17"/>
      <c r="K602" s="17"/>
      <c r="L602" s="19"/>
      <c r="M602" s="19"/>
      <c r="N602" s="20"/>
      <c r="O602" s="20"/>
      <c r="P602" s="21"/>
      <c r="Q602" s="20"/>
      <c r="R602" s="20"/>
      <c r="S602" s="22"/>
      <c r="T602" s="23"/>
      <c r="U602" s="23"/>
      <c r="V602" s="24"/>
      <c r="W602" s="24"/>
    </row>
    <row r="603">
      <c r="A603" s="11">
        <v>45528.0</v>
      </c>
      <c r="B603" s="17"/>
      <c r="C603" s="17"/>
      <c r="D603" s="17"/>
      <c r="E603" s="17"/>
      <c r="F603" s="18"/>
      <c r="G603" s="17"/>
      <c r="H603" s="17"/>
      <c r="I603" s="17"/>
      <c r="J603" s="17"/>
      <c r="K603" s="17"/>
      <c r="L603" s="19"/>
      <c r="M603" s="19"/>
      <c r="N603" s="20"/>
      <c r="O603" s="20"/>
      <c r="P603" s="21"/>
      <c r="Q603" s="20"/>
      <c r="R603" s="20"/>
      <c r="S603" s="22"/>
      <c r="T603" s="23"/>
      <c r="U603" s="23"/>
      <c r="V603" s="24"/>
      <c r="W603" s="24"/>
    </row>
    <row r="604">
      <c r="A604" s="11">
        <v>45529.0</v>
      </c>
      <c r="B604" s="17"/>
      <c r="C604" s="17"/>
      <c r="D604" s="17"/>
      <c r="E604" s="17"/>
      <c r="F604" s="18"/>
      <c r="G604" s="17"/>
      <c r="H604" s="17"/>
      <c r="I604" s="17"/>
      <c r="J604" s="17"/>
      <c r="K604" s="17"/>
      <c r="L604" s="19"/>
      <c r="M604" s="19"/>
      <c r="N604" s="20"/>
      <c r="O604" s="20"/>
      <c r="P604" s="21"/>
      <c r="Q604" s="20"/>
      <c r="R604" s="20"/>
      <c r="S604" s="22"/>
      <c r="T604" s="23"/>
      <c r="U604" s="23"/>
      <c r="V604" s="24"/>
      <c r="W604" s="24"/>
    </row>
    <row r="605">
      <c r="A605" s="11">
        <v>45530.0</v>
      </c>
      <c r="B605" s="17"/>
      <c r="C605" s="17"/>
      <c r="D605" s="17"/>
      <c r="E605" s="17"/>
      <c r="F605" s="18"/>
      <c r="G605" s="17"/>
      <c r="H605" s="17"/>
      <c r="I605" s="17"/>
      <c r="J605" s="17"/>
      <c r="K605" s="17"/>
      <c r="L605" s="19"/>
      <c r="M605" s="19"/>
      <c r="N605" s="20"/>
      <c r="O605" s="20"/>
      <c r="P605" s="21"/>
      <c r="Q605" s="20"/>
      <c r="R605" s="20"/>
      <c r="S605" s="22"/>
      <c r="T605" s="23"/>
      <c r="U605" s="23"/>
      <c r="V605" s="24"/>
      <c r="W605" s="24"/>
    </row>
    <row r="606">
      <c r="A606" s="11">
        <v>45531.0</v>
      </c>
      <c r="B606" s="17"/>
      <c r="C606" s="17"/>
      <c r="D606" s="17"/>
      <c r="E606" s="17"/>
      <c r="F606" s="18"/>
      <c r="G606" s="17"/>
      <c r="H606" s="17"/>
      <c r="I606" s="17"/>
      <c r="J606" s="17"/>
      <c r="K606" s="17"/>
      <c r="L606" s="19"/>
      <c r="M606" s="19"/>
      <c r="N606" s="20"/>
      <c r="O606" s="20"/>
      <c r="P606" s="21"/>
      <c r="Q606" s="20"/>
      <c r="R606" s="20"/>
      <c r="S606" s="22"/>
      <c r="T606" s="23"/>
      <c r="U606" s="23"/>
      <c r="V606" s="24"/>
      <c r="W606" s="24"/>
    </row>
    <row r="607">
      <c r="A607" s="11">
        <v>45532.0</v>
      </c>
      <c r="B607" s="17"/>
      <c r="C607" s="17"/>
      <c r="D607" s="17"/>
      <c r="E607" s="17"/>
      <c r="F607" s="18"/>
      <c r="G607" s="17"/>
      <c r="H607" s="17"/>
      <c r="I607" s="17"/>
      <c r="J607" s="17"/>
      <c r="K607" s="17"/>
      <c r="L607" s="19"/>
      <c r="M607" s="19"/>
      <c r="N607" s="20"/>
      <c r="O607" s="20"/>
      <c r="P607" s="21"/>
      <c r="Q607" s="20"/>
      <c r="R607" s="20"/>
      <c r="S607" s="22"/>
      <c r="T607" s="23"/>
      <c r="U607" s="23"/>
      <c r="V607" s="24"/>
      <c r="W607" s="24"/>
    </row>
    <row r="608">
      <c r="A608" s="11">
        <v>45533.0</v>
      </c>
      <c r="B608" s="17"/>
      <c r="C608" s="17"/>
      <c r="D608" s="17"/>
      <c r="E608" s="17"/>
      <c r="F608" s="18"/>
      <c r="G608" s="17"/>
      <c r="H608" s="17"/>
      <c r="I608" s="17"/>
      <c r="J608" s="17"/>
      <c r="K608" s="17"/>
      <c r="L608" s="19"/>
      <c r="M608" s="19"/>
      <c r="N608" s="20"/>
      <c r="O608" s="20"/>
      <c r="P608" s="21"/>
      <c r="Q608" s="20"/>
      <c r="R608" s="20"/>
      <c r="S608" s="22">
        <v>10.5</v>
      </c>
      <c r="T608" s="23" t="s">
        <v>59</v>
      </c>
      <c r="U608" s="23" t="s">
        <v>48</v>
      </c>
      <c r="V608" s="24"/>
      <c r="W608" s="24"/>
    </row>
    <row r="609">
      <c r="A609" s="11">
        <v>45534.0</v>
      </c>
      <c r="B609" s="17"/>
      <c r="C609" s="17"/>
      <c r="D609" s="17"/>
      <c r="E609" s="17"/>
      <c r="F609" s="18"/>
      <c r="G609" s="17"/>
      <c r="H609" s="17"/>
      <c r="I609" s="17"/>
      <c r="J609" s="17"/>
      <c r="K609" s="17"/>
      <c r="L609" s="19"/>
      <c r="M609" s="19"/>
      <c r="N609" s="20"/>
      <c r="O609" s="20"/>
      <c r="P609" s="21"/>
      <c r="Q609" s="20"/>
      <c r="R609" s="20"/>
      <c r="S609" s="22"/>
      <c r="T609" s="23"/>
      <c r="U609" s="23"/>
      <c r="V609" s="24"/>
      <c r="W609" s="24"/>
    </row>
    <row r="610">
      <c r="A610" s="11">
        <v>45535.0</v>
      </c>
      <c r="B610" s="17"/>
      <c r="C610" s="17"/>
      <c r="D610" s="17"/>
      <c r="E610" s="17"/>
      <c r="F610" s="18"/>
      <c r="G610" s="17"/>
      <c r="H610" s="17"/>
      <c r="I610" s="17"/>
      <c r="J610" s="17"/>
      <c r="K610" s="17"/>
      <c r="L610" s="19"/>
      <c r="M610" s="19"/>
      <c r="N610" s="20"/>
      <c r="O610" s="20"/>
      <c r="P610" s="21"/>
      <c r="Q610" s="20"/>
      <c r="R610" s="20"/>
      <c r="S610" s="22"/>
      <c r="T610" s="23"/>
      <c r="U610" s="23"/>
      <c r="V610" s="24"/>
      <c r="W610" s="24"/>
    </row>
    <row r="611">
      <c r="A611" s="11">
        <v>45536.0</v>
      </c>
      <c r="B611" s="17"/>
      <c r="C611" s="17"/>
      <c r="D611" s="17"/>
      <c r="E611" s="17"/>
      <c r="F611" s="18"/>
      <c r="G611" s="17"/>
      <c r="H611" s="17"/>
      <c r="I611" s="17"/>
      <c r="J611" s="17"/>
      <c r="K611" s="17"/>
      <c r="L611" s="19"/>
      <c r="M611" s="19"/>
      <c r="N611" s="20"/>
      <c r="O611" s="20"/>
      <c r="P611" s="21"/>
      <c r="Q611" s="20"/>
      <c r="R611" s="20"/>
      <c r="S611" s="22"/>
      <c r="T611" s="23"/>
      <c r="U611" s="23"/>
      <c r="V611" s="24"/>
      <c r="W611" s="24"/>
    </row>
    <row r="612">
      <c r="A612" s="11">
        <v>45537.0</v>
      </c>
      <c r="B612" s="17"/>
      <c r="C612" s="17"/>
      <c r="D612" s="17"/>
      <c r="E612" s="17"/>
      <c r="F612" s="18"/>
      <c r="G612" s="17"/>
      <c r="H612" s="17"/>
      <c r="I612" s="17"/>
      <c r="J612" s="17"/>
      <c r="K612" s="17"/>
      <c r="L612" s="19"/>
      <c r="M612" s="19"/>
      <c r="N612" s="20"/>
      <c r="O612" s="20"/>
      <c r="P612" s="21"/>
      <c r="Q612" s="20"/>
      <c r="R612" s="20"/>
      <c r="S612" s="22">
        <v>5.55</v>
      </c>
      <c r="T612" s="22" t="s">
        <v>60</v>
      </c>
      <c r="U612" s="23"/>
      <c r="V612" s="24"/>
      <c r="W612" s="24"/>
    </row>
    <row r="613">
      <c r="A613" s="11">
        <v>45538.0</v>
      </c>
      <c r="B613" s="17"/>
      <c r="C613" s="17"/>
      <c r="D613" s="17"/>
      <c r="E613" s="17"/>
      <c r="F613" s="18"/>
      <c r="G613" s="17"/>
      <c r="H613" s="17"/>
      <c r="I613" s="17"/>
      <c r="J613" s="17"/>
      <c r="K613" s="17"/>
      <c r="L613" s="19"/>
      <c r="M613" s="19"/>
      <c r="N613" s="20"/>
      <c r="O613" s="20"/>
      <c r="P613" s="21"/>
      <c r="Q613" s="20"/>
      <c r="R613" s="20"/>
      <c r="S613" s="22"/>
      <c r="T613" s="23"/>
      <c r="U613" s="23"/>
      <c r="V613" s="24"/>
      <c r="W613" s="24"/>
    </row>
    <row r="614">
      <c r="A614" s="11">
        <v>45539.0</v>
      </c>
      <c r="B614" s="17"/>
      <c r="C614" s="17"/>
      <c r="D614" s="17"/>
      <c r="E614" s="17"/>
      <c r="F614" s="18"/>
      <c r="G614" s="17"/>
      <c r="H614" s="17"/>
      <c r="I614" s="17"/>
      <c r="J614" s="17"/>
      <c r="K614" s="17"/>
      <c r="L614" s="19"/>
      <c r="M614" s="19"/>
      <c r="N614" s="20"/>
      <c r="O614" s="20"/>
      <c r="P614" s="21"/>
      <c r="Q614" s="20"/>
      <c r="R614" s="20"/>
      <c r="S614" s="22"/>
      <c r="T614" s="23"/>
      <c r="U614" s="23"/>
      <c r="V614" s="24"/>
      <c r="W614" s="24"/>
    </row>
    <row r="615">
      <c r="A615" s="11">
        <v>45540.0</v>
      </c>
      <c r="B615" s="17"/>
      <c r="C615" s="17"/>
      <c r="D615" s="17"/>
      <c r="E615" s="17"/>
      <c r="F615" s="18"/>
      <c r="G615" s="17"/>
      <c r="H615" s="17"/>
      <c r="I615" s="17"/>
      <c r="J615" s="17"/>
      <c r="K615" s="17"/>
      <c r="L615" s="19"/>
      <c r="M615" s="19"/>
      <c r="N615" s="20"/>
      <c r="O615" s="20"/>
      <c r="P615" s="21"/>
      <c r="Q615" s="20"/>
      <c r="R615" s="20"/>
      <c r="S615" s="22"/>
      <c r="T615" s="23"/>
      <c r="U615" s="23"/>
      <c r="V615" s="24"/>
      <c r="W615" s="24"/>
    </row>
    <row r="616">
      <c r="A616" s="11">
        <v>45541.0</v>
      </c>
      <c r="B616" s="17"/>
      <c r="C616" s="17"/>
      <c r="D616" s="17"/>
      <c r="E616" s="17"/>
      <c r="F616" s="18"/>
      <c r="G616" s="17"/>
      <c r="H616" s="17"/>
      <c r="I616" s="17"/>
      <c r="J616" s="17"/>
      <c r="K616" s="17"/>
      <c r="L616" s="19"/>
      <c r="M616" s="19"/>
      <c r="N616" s="20"/>
      <c r="O616" s="20"/>
      <c r="P616" s="21"/>
      <c r="Q616" s="20"/>
      <c r="R616" s="20"/>
      <c r="S616" s="22"/>
      <c r="T616" s="23"/>
      <c r="U616" s="23"/>
      <c r="V616" s="24"/>
      <c r="W616" s="24"/>
    </row>
    <row r="617">
      <c r="A617" s="11">
        <v>45542.0</v>
      </c>
      <c r="B617" s="17"/>
      <c r="C617" s="17"/>
      <c r="D617" s="17"/>
      <c r="E617" s="17"/>
      <c r="F617" s="18"/>
      <c r="G617" s="17"/>
      <c r="H617" s="17"/>
      <c r="I617" s="17"/>
      <c r="J617" s="17"/>
      <c r="K617" s="17"/>
      <c r="L617" s="19"/>
      <c r="M617" s="19"/>
      <c r="N617" s="20"/>
      <c r="O617" s="20"/>
      <c r="P617" s="21"/>
      <c r="Q617" s="20"/>
      <c r="R617" s="20"/>
      <c r="S617" s="22"/>
      <c r="T617" s="23"/>
      <c r="U617" s="23"/>
      <c r="V617" s="24"/>
      <c r="W617" s="24"/>
    </row>
    <row r="618">
      <c r="A618" s="11">
        <v>45543.0</v>
      </c>
      <c r="B618" s="17"/>
      <c r="C618" s="17"/>
      <c r="D618" s="17"/>
      <c r="E618" s="17"/>
      <c r="F618" s="18"/>
      <c r="G618" s="17"/>
      <c r="H618" s="17"/>
      <c r="I618" s="17"/>
      <c r="J618" s="17"/>
      <c r="K618" s="17"/>
      <c r="L618" s="19"/>
      <c r="M618" s="19"/>
      <c r="N618" s="20"/>
      <c r="O618" s="20"/>
      <c r="P618" s="21"/>
      <c r="Q618" s="20"/>
      <c r="R618" s="20"/>
      <c r="S618" s="22"/>
      <c r="T618" s="23"/>
      <c r="U618" s="23"/>
      <c r="V618" s="24"/>
      <c r="W618" s="24"/>
    </row>
    <row r="619">
      <c r="A619" s="11">
        <v>45544.0</v>
      </c>
      <c r="B619" s="17"/>
      <c r="C619" s="17"/>
      <c r="D619" s="17"/>
      <c r="E619" s="17"/>
      <c r="F619" s="18"/>
      <c r="G619" s="17"/>
      <c r="H619" s="17"/>
      <c r="I619" s="17"/>
      <c r="J619" s="17"/>
      <c r="K619" s="17"/>
      <c r="L619" s="19"/>
      <c r="M619" s="19"/>
      <c r="N619" s="20"/>
      <c r="O619" s="20"/>
      <c r="P619" s="21"/>
      <c r="Q619" s="20"/>
      <c r="R619" s="20"/>
      <c r="S619" s="22"/>
      <c r="T619" s="23"/>
      <c r="U619" s="23"/>
      <c r="V619" s="24"/>
      <c r="W619" s="24"/>
    </row>
    <row r="620">
      <c r="A620" s="11">
        <v>45545.0</v>
      </c>
      <c r="B620" s="17"/>
      <c r="C620" s="17"/>
      <c r="D620" s="17"/>
      <c r="E620" s="17"/>
      <c r="F620" s="18"/>
      <c r="G620" s="17"/>
      <c r="H620" s="17"/>
      <c r="I620" s="17"/>
      <c r="J620" s="17"/>
      <c r="K620" s="17"/>
      <c r="L620" s="19"/>
      <c r="M620" s="19"/>
      <c r="N620" s="20"/>
      <c r="O620" s="20"/>
      <c r="P620" s="21"/>
      <c r="Q620" s="20"/>
      <c r="R620" s="20"/>
      <c r="S620" s="22"/>
      <c r="T620" s="23"/>
      <c r="U620" s="23"/>
      <c r="V620" s="24"/>
      <c r="W620" s="24"/>
    </row>
    <row r="621">
      <c r="A621" s="11">
        <v>45546.0</v>
      </c>
      <c r="B621" s="17"/>
      <c r="C621" s="17"/>
      <c r="D621" s="17"/>
      <c r="E621" s="17"/>
      <c r="F621" s="18"/>
      <c r="G621" s="17"/>
      <c r="H621" s="17"/>
      <c r="I621" s="17"/>
      <c r="J621" s="17"/>
      <c r="K621" s="17"/>
      <c r="L621" s="19"/>
      <c r="M621" s="19"/>
      <c r="N621" s="20"/>
      <c r="O621" s="20"/>
      <c r="P621" s="21"/>
      <c r="Q621" s="20"/>
      <c r="R621" s="20"/>
      <c r="S621" s="22">
        <v>8.92</v>
      </c>
      <c r="T621" s="23" t="s">
        <v>60</v>
      </c>
      <c r="U621" s="23"/>
      <c r="V621" s="24"/>
      <c r="W621" s="24"/>
    </row>
    <row r="622">
      <c r="A622" s="11">
        <v>45547.0</v>
      </c>
      <c r="B622" s="17"/>
      <c r="C622" s="17"/>
      <c r="D622" s="17"/>
      <c r="E622" s="17"/>
      <c r="F622" s="18"/>
      <c r="G622" s="17"/>
      <c r="H622" s="17"/>
      <c r="I622" s="17"/>
      <c r="J622" s="17"/>
      <c r="K622" s="17"/>
      <c r="L622" s="19"/>
      <c r="M622" s="19"/>
      <c r="N622" s="20"/>
      <c r="O622" s="20"/>
      <c r="P622" s="21"/>
      <c r="Q622" s="20"/>
      <c r="R622" s="20"/>
      <c r="S622" s="22"/>
      <c r="T622" s="23"/>
      <c r="U622" s="23"/>
      <c r="V622" s="24"/>
      <c r="W622" s="24"/>
    </row>
    <row r="623">
      <c r="A623" s="11">
        <v>45548.0</v>
      </c>
      <c r="B623" s="17"/>
      <c r="C623" s="17"/>
      <c r="D623" s="17"/>
      <c r="E623" s="17"/>
      <c r="F623" s="18"/>
      <c r="G623" s="17"/>
      <c r="H623" s="17"/>
      <c r="I623" s="17"/>
      <c r="J623" s="17"/>
      <c r="K623" s="17"/>
      <c r="L623" s="19"/>
      <c r="M623" s="19"/>
      <c r="N623" s="20"/>
      <c r="O623" s="20"/>
      <c r="P623" s="21"/>
      <c r="Q623" s="20"/>
      <c r="R623" s="20"/>
      <c r="S623" s="22"/>
      <c r="T623" s="23"/>
      <c r="U623" s="23"/>
      <c r="V623" s="24"/>
      <c r="W623" s="24"/>
    </row>
    <row r="624">
      <c r="A624" s="11">
        <v>45549.0</v>
      </c>
      <c r="B624" s="17"/>
      <c r="C624" s="17"/>
      <c r="D624" s="17"/>
      <c r="E624" s="17"/>
      <c r="F624" s="18"/>
      <c r="G624" s="17"/>
      <c r="H624" s="17"/>
      <c r="I624" s="17"/>
      <c r="J624" s="17"/>
      <c r="K624" s="17"/>
      <c r="L624" s="19"/>
      <c r="M624" s="19"/>
      <c r="N624" s="20"/>
      <c r="O624" s="20"/>
      <c r="P624" s="21"/>
      <c r="Q624" s="20"/>
      <c r="R624" s="20"/>
      <c r="S624" s="22"/>
      <c r="T624" s="23"/>
      <c r="U624" s="23"/>
      <c r="V624" s="24"/>
      <c r="W624" s="24"/>
    </row>
    <row r="625">
      <c r="A625" s="11">
        <v>45550.0</v>
      </c>
      <c r="B625" s="17"/>
      <c r="C625" s="17"/>
      <c r="D625" s="17"/>
      <c r="E625" s="17"/>
      <c r="F625" s="18"/>
      <c r="G625" s="17"/>
      <c r="H625" s="17"/>
      <c r="I625" s="17"/>
      <c r="J625" s="17"/>
      <c r="K625" s="17"/>
      <c r="L625" s="19"/>
      <c r="M625" s="19"/>
      <c r="N625" s="20"/>
      <c r="O625" s="20"/>
      <c r="P625" s="21"/>
      <c r="Q625" s="20"/>
      <c r="R625" s="20"/>
      <c r="S625" s="22"/>
      <c r="T625" s="23"/>
      <c r="U625" s="23"/>
      <c r="V625" s="24"/>
      <c r="W625" s="24"/>
    </row>
    <row r="626">
      <c r="A626" s="11">
        <v>45551.0</v>
      </c>
      <c r="B626" s="17"/>
      <c r="C626" s="17"/>
      <c r="D626" s="17"/>
      <c r="E626" s="17"/>
      <c r="F626" s="18"/>
      <c r="G626" s="17"/>
      <c r="H626" s="17"/>
      <c r="I626" s="17"/>
      <c r="J626" s="17"/>
      <c r="K626" s="17"/>
      <c r="L626" s="19"/>
      <c r="M626" s="19"/>
      <c r="N626" s="20"/>
      <c r="O626" s="20"/>
      <c r="P626" s="21"/>
      <c r="Q626" s="20"/>
      <c r="R626" s="20"/>
      <c r="S626" s="22"/>
      <c r="T626" s="23"/>
      <c r="U626" s="23"/>
      <c r="V626" s="24"/>
      <c r="W626" s="24"/>
    </row>
    <row r="627">
      <c r="A627" s="11">
        <v>45552.0</v>
      </c>
      <c r="B627" s="17"/>
      <c r="C627" s="17"/>
      <c r="D627" s="17"/>
      <c r="E627" s="17"/>
      <c r="F627" s="18"/>
      <c r="G627" s="17"/>
      <c r="H627" s="17"/>
      <c r="I627" s="17"/>
      <c r="J627" s="17"/>
      <c r="K627" s="17"/>
      <c r="L627" s="19"/>
      <c r="M627" s="19"/>
      <c r="N627" s="20"/>
      <c r="O627" s="20"/>
      <c r="P627" s="21"/>
      <c r="Q627" s="20"/>
      <c r="R627" s="20"/>
      <c r="S627" s="22"/>
      <c r="T627" s="23"/>
      <c r="U627" s="23"/>
      <c r="V627" s="24"/>
      <c r="W627" s="24"/>
    </row>
    <row r="628">
      <c r="A628" s="11">
        <v>45553.0</v>
      </c>
      <c r="B628" s="17"/>
      <c r="C628" s="17"/>
      <c r="D628" s="17"/>
      <c r="E628" s="17"/>
      <c r="F628" s="18"/>
      <c r="G628" s="17"/>
      <c r="H628" s="17"/>
      <c r="I628" s="17"/>
      <c r="J628" s="17"/>
      <c r="K628" s="17"/>
      <c r="L628" s="19"/>
      <c r="M628" s="19"/>
      <c r="N628" s="20"/>
      <c r="O628" s="20"/>
      <c r="P628" s="21"/>
      <c r="Q628" s="20"/>
      <c r="R628" s="20"/>
      <c r="S628" s="22"/>
      <c r="T628" s="23"/>
      <c r="U628" s="23"/>
      <c r="V628" s="24"/>
      <c r="W628" s="24"/>
    </row>
    <row r="629">
      <c r="A629" s="11">
        <v>45554.0</v>
      </c>
      <c r="B629" s="17"/>
      <c r="C629" s="17"/>
      <c r="D629" s="17"/>
      <c r="E629" s="17"/>
      <c r="F629" s="18"/>
      <c r="G629" s="17"/>
      <c r="H629" s="17"/>
      <c r="I629" s="17"/>
      <c r="J629" s="17"/>
      <c r="K629" s="17"/>
      <c r="L629" s="19"/>
      <c r="M629" s="19"/>
      <c r="N629" s="20"/>
      <c r="O629" s="20"/>
      <c r="P629" s="21"/>
      <c r="Q629" s="20"/>
      <c r="R629" s="20"/>
      <c r="S629" s="22"/>
      <c r="T629" s="23"/>
      <c r="U629" s="23"/>
      <c r="V629" s="24"/>
      <c r="W629" s="24"/>
    </row>
    <row r="630">
      <c r="A630" s="11">
        <v>45555.0</v>
      </c>
      <c r="B630" s="17"/>
      <c r="C630" s="17"/>
      <c r="D630" s="17"/>
      <c r="E630" s="17"/>
      <c r="F630" s="18"/>
      <c r="G630" s="17"/>
      <c r="H630" s="17"/>
      <c r="I630" s="17"/>
      <c r="J630" s="17"/>
      <c r="K630" s="17"/>
      <c r="L630" s="19"/>
      <c r="M630" s="19"/>
      <c r="N630" s="20"/>
      <c r="O630" s="20"/>
      <c r="P630" s="21"/>
      <c r="Q630" s="20"/>
      <c r="R630" s="20"/>
      <c r="S630" s="22"/>
      <c r="T630" s="23"/>
      <c r="U630" s="23"/>
      <c r="V630" s="24"/>
      <c r="W630" s="24"/>
    </row>
    <row r="631">
      <c r="A631" s="11">
        <v>45556.0</v>
      </c>
      <c r="B631" s="17"/>
      <c r="C631" s="17"/>
      <c r="D631" s="17"/>
      <c r="E631" s="17"/>
      <c r="F631" s="18"/>
      <c r="G631" s="17"/>
      <c r="H631" s="17"/>
      <c r="I631" s="17"/>
      <c r="J631" s="17"/>
      <c r="K631" s="17"/>
      <c r="L631" s="19"/>
      <c r="M631" s="19"/>
      <c r="N631" s="20"/>
      <c r="O631" s="20"/>
      <c r="P631" s="21"/>
      <c r="Q631" s="20"/>
      <c r="R631" s="20"/>
      <c r="S631" s="22"/>
      <c r="T631" s="23"/>
      <c r="U631" s="23"/>
      <c r="V631" s="24"/>
      <c r="W631" s="24"/>
    </row>
    <row r="632">
      <c r="A632" s="11">
        <v>45557.0</v>
      </c>
      <c r="B632" s="17"/>
      <c r="C632" s="17"/>
      <c r="D632" s="17"/>
      <c r="E632" s="17"/>
      <c r="F632" s="18"/>
      <c r="G632" s="17"/>
      <c r="H632" s="17"/>
      <c r="I632" s="17"/>
      <c r="J632" s="17"/>
      <c r="K632" s="17"/>
      <c r="L632" s="19"/>
      <c r="M632" s="19"/>
      <c r="N632" s="20"/>
      <c r="O632" s="20"/>
      <c r="P632" s="21"/>
      <c r="Q632" s="20"/>
      <c r="R632" s="20"/>
      <c r="S632" s="22"/>
      <c r="T632" s="23"/>
      <c r="U632" s="23"/>
      <c r="V632" s="24"/>
      <c r="W632" s="24"/>
    </row>
    <row r="633">
      <c r="A633" s="11">
        <v>45558.0</v>
      </c>
      <c r="B633" s="17"/>
      <c r="C633" s="17"/>
      <c r="D633" s="17"/>
      <c r="E633" s="17"/>
      <c r="F633" s="18"/>
      <c r="G633" s="17"/>
      <c r="H633" s="17"/>
      <c r="I633" s="17"/>
      <c r="J633" s="17"/>
      <c r="K633" s="17"/>
      <c r="L633" s="19"/>
      <c r="M633" s="19"/>
      <c r="N633" s="20"/>
      <c r="O633" s="20"/>
      <c r="P633" s="21"/>
      <c r="Q633" s="20"/>
      <c r="R633" s="20"/>
      <c r="S633" s="22"/>
      <c r="T633" s="23"/>
      <c r="U633" s="23"/>
      <c r="V633" s="24"/>
      <c r="W633" s="24"/>
    </row>
    <row r="634">
      <c r="A634" s="11">
        <v>45559.0</v>
      </c>
      <c r="B634" s="17"/>
      <c r="C634" s="17"/>
      <c r="D634" s="17"/>
      <c r="E634" s="17"/>
      <c r="F634" s="18"/>
      <c r="G634" s="17"/>
      <c r="H634" s="17"/>
      <c r="I634" s="17"/>
      <c r="J634" s="17"/>
      <c r="K634" s="17"/>
      <c r="L634" s="19"/>
      <c r="M634" s="19"/>
      <c r="N634" s="20"/>
      <c r="O634" s="20"/>
      <c r="P634" s="21"/>
      <c r="Q634" s="20"/>
      <c r="R634" s="20"/>
      <c r="S634" s="22"/>
      <c r="T634" s="23"/>
      <c r="U634" s="23"/>
      <c r="V634" s="24"/>
      <c r="W634" s="24"/>
    </row>
    <row r="635">
      <c r="A635" s="11">
        <v>45560.0</v>
      </c>
      <c r="B635" s="17"/>
      <c r="C635" s="17"/>
      <c r="D635" s="17"/>
      <c r="E635" s="17"/>
      <c r="F635" s="18"/>
      <c r="G635" s="17"/>
      <c r="H635" s="17"/>
      <c r="I635" s="17"/>
      <c r="J635" s="17"/>
      <c r="K635" s="17"/>
      <c r="L635" s="19"/>
      <c r="M635" s="19"/>
      <c r="N635" s="20"/>
      <c r="O635" s="20"/>
      <c r="P635" s="21"/>
      <c r="Q635" s="20"/>
      <c r="R635" s="20"/>
      <c r="S635" s="22"/>
      <c r="T635" s="23"/>
      <c r="U635" s="23"/>
      <c r="V635" s="24"/>
      <c r="W635" s="24"/>
    </row>
    <row r="636">
      <c r="A636" s="11">
        <v>45561.0</v>
      </c>
      <c r="B636" s="17"/>
      <c r="C636" s="17"/>
      <c r="D636" s="17"/>
      <c r="E636" s="17"/>
      <c r="F636" s="18"/>
      <c r="G636" s="17"/>
      <c r="H636" s="17"/>
      <c r="I636" s="17"/>
      <c r="J636" s="17"/>
      <c r="K636" s="17"/>
      <c r="L636" s="19"/>
      <c r="M636" s="19"/>
      <c r="N636" s="20"/>
      <c r="O636" s="20"/>
      <c r="P636" s="21"/>
      <c r="Q636" s="20"/>
      <c r="R636" s="20"/>
      <c r="S636" s="22"/>
      <c r="T636" s="23"/>
      <c r="U636" s="23"/>
      <c r="V636" s="24"/>
      <c r="W636" s="24"/>
    </row>
    <row r="637">
      <c r="A637" s="11">
        <v>45562.0</v>
      </c>
      <c r="B637" s="17"/>
      <c r="C637" s="17"/>
      <c r="D637" s="17"/>
      <c r="E637" s="17"/>
      <c r="F637" s="18"/>
      <c r="G637" s="17"/>
      <c r="H637" s="17"/>
      <c r="I637" s="17"/>
      <c r="J637" s="17"/>
      <c r="K637" s="17"/>
      <c r="L637" s="19"/>
      <c r="M637" s="19"/>
      <c r="N637" s="20"/>
      <c r="O637" s="20"/>
      <c r="P637" s="21"/>
      <c r="Q637" s="20"/>
      <c r="R637" s="20"/>
      <c r="S637" s="22"/>
      <c r="T637" s="23"/>
      <c r="U637" s="23"/>
      <c r="V637" s="24"/>
      <c r="W637" s="24"/>
    </row>
    <row r="638">
      <c r="A638" s="11">
        <v>45563.0</v>
      </c>
      <c r="B638" s="17"/>
      <c r="C638" s="17"/>
      <c r="D638" s="17"/>
      <c r="E638" s="17"/>
      <c r="F638" s="18"/>
      <c r="G638" s="17"/>
      <c r="H638" s="17"/>
      <c r="I638" s="17"/>
      <c r="J638" s="17"/>
      <c r="K638" s="17"/>
      <c r="L638" s="19"/>
      <c r="M638" s="19"/>
      <c r="N638" s="20"/>
      <c r="O638" s="20"/>
      <c r="P638" s="21"/>
      <c r="Q638" s="20"/>
      <c r="R638" s="20"/>
      <c r="S638" s="22"/>
      <c r="T638" s="23"/>
      <c r="U638" s="23"/>
      <c r="V638" s="24"/>
      <c r="W638" s="24"/>
    </row>
    <row r="639">
      <c r="A639" s="11">
        <v>45564.0</v>
      </c>
      <c r="B639" s="17"/>
      <c r="C639" s="17"/>
      <c r="D639" s="17"/>
      <c r="E639" s="17"/>
      <c r="F639" s="18"/>
      <c r="G639" s="17"/>
      <c r="H639" s="17"/>
      <c r="I639" s="17"/>
      <c r="J639" s="17"/>
      <c r="K639" s="17"/>
      <c r="L639" s="19"/>
      <c r="M639" s="19"/>
      <c r="N639" s="20"/>
      <c r="O639" s="20"/>
      <c r="P639" s="21"/>
      <c r="Q639" s="20"/>
      <c r="R639" s="20"/>
      <c r="S639" s="22"/>
      <c r="T639" s="23"/>
      <c r="U639" s="23"/>
      <c r="V639" s="24"/>
      <c r="W639" s="24"/>
    </row>
    <row r="640">
      <c r="A640" s="11">
        <v>45565.0</v>
      </c>
      <c r="B640" s="17"/>
      <c r="C640" s="17"/>
      <c r="D640" s="17"/>
      <c r="E640" s="17"/>
      <c r="F640" s="18"/>
      <c r="G640" s="17"/>
      <c r="H640" s="17"/>
      <c r="I640" s="17"/>
      <c r="J640" s="17"/>
      <c r="K640" s="17"/>
      <c r="L640" s="19"/>
      <c r="M640" s="19"/>
      <c r="N640" s="20"/>
      <c r="O640" s="20"/>
      <c r="P640" s="21"/>
      <c r="Q640" s="20"/>
      <c r="R640" s="20"/>
      <c r="S640" s="22"/>
      <c r="T640" s="23"/>
      <c r="U640" s="23"/>
      <c r="V640" s="24"/>
      <c r="W640" s="24"/>
    </row>
    <row r="641">
      <c r="A641" s="11">
        <v>45566.0</v>
      </c>
      <c r="B641" s="17"/>
      <c r="C641" s="17"/>
      <c r="D641" s="17"/>
      <c r="E641" s="17"/>
      <c r="F641" s="18"/>
      <c r="G641" s="17"/>
      <c r="H641" s="17"/>
      <c r="I641" s="17"/>
      <c r="J641" s="17"/>
      <c r="K641" s="17"/>
      <c r="L641" s="19"/>
      <c r="M641" s="19"/>
      <c r="N641" s="20"/>
      <c r="O641" s="20"/>
      <c r="P641" s="21"/>
      <c r="Q641" s="20"/>
      <c r="R641" s="20"/>
      <c r="S641" s="22"/>
      <c r="T641" s="23"/>
      <c r="U641" s="23"/>
      <c r="V641" s="24"/>
      <c r="W641" s="24"/>
    </row>
    <row r="642">
      <c r="A642" s="11">
        <v>45567.0</v>
      </c>
      <c r="B642" s="17"/>
      <c r="C642" s="17"/>
      <c r="D642" s="17"/>
      <c r="E642" s="17"/>
      <c r="F642" s="18"/>
      <c r="G642" s="17"/>
      <c r="H642" s="17"/>
      <c r="I642" s="17"/>
      <c r="J642" s="17"/>
      <c r="K642" s="17"/>
      <c r="L642" s="19"/>
      <c r="M642" s="19"/>
      <c r="N642" s="20"/>
      <c r="O642" s="20"/>
      <c r="P642" s="21"/>
      <c r="Q642" s="20"/>
      <c r="R642" s="20"/>
      <c r="S642" s="22"/>
      <c r="T642" s="23"/>
      <c r="U642" s="23"/>
      <c r="V642" s="24"/>
      <c r="W642" s="24"/>
    </row>
    <row r="643">
      <c r="A643" s="11">
        <v>45568.0</v>
      </c>
      <c r="B643" s="17"/>
      <c r="C643" s="17"/>
      <c r="D643" s="17"/>
      <c r="E643" s="17"/>
      <c r="F643" s="18"/>
      <c r="G643" s="17"/>
      <c r="H643" s="17"/>
      <c r="I643" s="17"/>
      <c r="J643" s="17"/>
      <c r="K643" s="17"/>
      <c r="L643" s="19"/>
      <c r="M643" s="19"/>
      <c r="N643" s="20"/>
      <c r="O643" s="20"/>
      <c r="P643" s="21"/>
      <c r="Q643" s="20"/>
      <c r="R643" s="20"/>
      <c r="S643" s="22"/>
      <c r="T643" s="23"/>
      <c r="U643" s="23"/>
      <c r="V643" s="24"/>
      <c r="W643" s="24"/>
    </row>
    <row r="644">
      <c r="A644" s="11">
        <v>45569.0</v>
      </c>
      <c r="B644" s="17"/>
      <c r="C644" s="17"/>
      <c r="D644" s="17"/>
      <c r="E644" s="17"/>
      <c r="F644" s="18"/>
      <c r="G644" s="17"/>
      <c r="H644" s="17"/>
      <c r="I644" s="17"/>
      <c r="J644" s="17"/>
      <c r="K644" s="17"/>
      <c r="L644" s="19"/>
      <c r="M644" s="19"/>
      <c r="N644" s="20"/>
      <c r="O644" s="20"/>
      <c r="P644" s="21"/>
      <c r="Q644" s="20"/>
      <c r="R644" s="20"/>
      <c r="S644" s="22"/>
      <c r="T644" s="23"/>
      <c r="U644" s="23"/>
      <c r="V644" s="24"/>
      <c r="W644" s="24"/>
    </row>
    <row r="645">
      <c r="A645" s="11">
        <v>45570.0</v>
      </c>
      <c r="B645" s="17"/>
      <c r="C645" s="17"/>
      <c r="D645" s="17"/>
      <c r="E645" s="17"/>
      <c r="F645" s="18"/>
      <c r="G645" s="17"/>
      <c r="H645" s="17"/>
      <c r="I645" s="17"/>
      <c r="J645" s="17"/>
      <c r="K645" s="17"/>
      <c r="L645" s="19"/>
      <c r="M645" s="19"/>
      <c r="N645" s="20"/>
      <c r="O645" s="20"/>
      <c r="P645" s="21"/>
      <c r="Q645" s="20"/>
      <c r="R645" s="20"/>
      <c r="S645" s="22"/>
      <c r="T645" s="23"/>
      <c r="U645" s="23"/>
      <c r="V645" s="24"/>
      <c r="W645" s="24"/>
    </row>
    <row r="646">
      <c r="A646" s="11">
        <v>45571.0</v>
      </c>
      <c r="B646" s="17"/>
      <c r="C646" s="17"/>
      <c r="D646" s="17"/>
      <c r="E646" s="17"/>
      <c r="F646" s="18"/>
      <c r="G646" s="17"/>
      <c r="H646" s="17"/>
      <c r="I646" s="17"/>
      <c r="J646" s="17"/>
      <c r="K646" s="17"/>
      <c r="L646" s="19"/>
      <c r="M646" s="19"/>
      <c r="N646" s="20"/>
      <c r="O646" s="20"/>
      <c r="P646" s="21"/>
      <c r="Q646" s="20"/>
      <c r="R646" s="20"/>
      <c r="S646" s="22"/>
      <c r="T646" s="23"/>
      <c r="U646" s="23"/>
      <c r="V646" s="24"/>
      <c r="W646" s="24"/>
    </row>
    <row r="647">
      <c r="A647" s="11">
        <v>45572.0</v>
      </c>
      <c r="B647" s="17"/>
      <c r="C647" s="17"/>
      <c r="D647" s="17"/>
      <c r="E647" s="17"/>
      <c r="F647" s="18"/>
      <c r="G647" s="17"/>
      <c r="H647" s="17"/>
      <c r="I647" s="17"/>
      <c r="J647" s="17"/>
      <c r="K647" s="17"/>
      <c r="L647" s="19"/>
      <c r="M647" s="19"/>
      <c r="N647" s="20"/>
      <c r="O647" s="20"/>
      <c r="P647" s="21"/>
      <c r="Q647" s="20"/>
      <c r="R647" s="20"/>
      <c r="S647" s="22"/>
      <c r="T647" s="23"/>
      <c r="U647" s="23"/>
      <c r="V647" s="24"/>
      <c r="W647" s="24"/>
    </row>
    <row r="648">
      <c r="A648" s="11">
        <v>45573.0</v>
      </c>
      <c r="B648" s="17"/>
      <c r="C648" s="17"/>
      <c r="D648" s="17"/>
      <c r="E648" s="17"/>
      <c r="F648" s="18"/>
      <c r="G648" s="17"/>
      <c r="H648" s="17"/>
      <c r="I648" s="17"/>
      <c r="J648" s="17"/>
      <c r="K648" s="17"/>
      <c r="L648" s="19"/>
      <c r="M648" s="19"/>
      <c r="N648" s="20"/>
      <c r="O648" s="20"/>
      <c r="P648" s="21"/>
      <c r="Q648" s="20"/>
      <c r="R648" s="20"/>
      <c r="S648" s="22"/>
      <c r="T648" s="23"/>
      <c r="U648" s="23"/>
      <c r="V648" s="24"/>
      <c r="W648" s="24"/>
    </row>
    <row r="649">
      <c r="A649" s="11">
        <v>45574.0</v>
      </c>
      <c r="B649" s="17"/>
      <c r="C649" s="17"/>
      <c r="D649" s="17"/>
      <c r="E649" s="17"/>
      <c r="F649" s="18"/>
      <c r="G649" s="17"/>
      <c r="H649" s="17"/>
      <c r="I649" s="17"/>
      <c r="J649" s="17"/>
      <c r="K649" s="17"/>
      <c r="L649" s="19"/>
      <c r="M649" s="19"/>
      <c r="N649" s="20"/>
      <c r="O649" s="20"/>
      <c r="P649" s="21"/>
      <c r="Q649" s="20"/>
      <c r="R649" s="20"/>
      <c r="S649" s="22"/>
      <c r="T649" s="23"/>
      <c r="U649" s="23"/>
      <c r="V649" s="24"/>
      <c r="W649" s="24"/>
    </row>
    <row r="650">
      <c r="A650" s="11">
        <v>45575.0</v>
      </c>
      <c r="B650" s="17"/>
      <c r="C650" s="17"/>
      <c r="D650" s="17"/>
      <c r="E650" s="17"/>
      <c r="F650" s="18"/>
      <c r="G650" s="17"/>
      <c r="H650" s="17"/>
      <c r="I650" s="17"/>
      <c r="J650" s="17"/>
      <c r="K650" s="17"/>
      <c r="L650" s="19"/>
      <c r="M650" s="19"/>
      <c r="N650" s="20"/>
      <c r="O650" s="20"/>
      <c r="P650" s="21"/>
      <c r="Q650" s="20"/>
      <c r="R650" s="20"/>
      <c r="S650" s="22"/>
      <c r="T650" s="23"/>
      <c r="U650" s="23"/>
      <c r="V650" s="24"/>
      <c r="W650" s="24"/>
    </row>
    <row r="651" ht="21.75" customHeight="1">
      <c r="A651" s="11">
        <v>45576.0</v>
      </c>
      <c r="B651" s="17"/>
      <c r="C651" s="17"/>
      <c r="D651" s="17"/>
      <c r="E651" s="17">
        <v>17.5</v>
      </c>
      <c r="F651" s="18"/>
      <c r="G651" s="17"/>
      <c r="H651" s="17"/>
      <c r="I651" s="17"/>
      <c r="J651" s="17"/>
      <c r="K651" s="17"/>
      <c r="L651" s="19"/>
      <c r="M651" s="19"/>
      <c r="N651" s="20"/>
      <c r="O651" s="20"/>
      <c r="P651" s="21"/>
      <c r="Q651" s="20"/>
      <c r="R651" s="20"/>
      <c r="S651" s="22">
        <v>7.04</v>
      </c>
      <c r="T651" s="23" t="s">
        <v>61</v>
      </c>
      <c r="U651" s="23"/>
      <c r="V651" s="24"/>
      <c r="W651" s="24"/>
    </row>
    <row r="652">
      <c r="A652" s="11">
        <v>45577.0</v>
      </c>
      <c r="B652" s="25"/>
      <c r="C652" s="25"/>
      <c r="D652" s="25"/>
      <c r="E652" s="25"/>
      <c r="F652" s="26"/>
      <c r="G652" s="25"/>
      <c r="H652" s="25"/>
      <c r="I652" s="25"/>
      <c r="J652" s="25"/>
      <c r="K652" s="25"/>
      <c r="L652" s="25"/>
      <c r="M652" s="25"/>
      <c r="N652" s="27"/>
      <c r="O652" s="27"/>
      <c r="P652" s="27"/>
      <c r="Q652" s="27"/>
      <c r="R652" s="27"/>
      <c r="S652" s="28"/>
      <c r="T652" s="29"/>
      <c r="U652" s="29"/>
      <c r="V652" s="24"/>
      <c r="W652" s="24"/>
    </row>
    <row r="653">
      <c r="A653" s="11">
        <v>45578.0</v>
      </c>
      <c r="B653" s="25"/>
      <c r="C653" s="25"/>
      <c r="D653" s="25"/>
      <c r="E653" s="25"/>
      <c r="F653" s="26"/>
      <c r="G653" s="25"/>
      <c r="H653" s="25"/>
      <c r="I653" s="25"/>
      <c r="J653" s="25"/>
      <c r="K653" s="25"/>
      <c r="L653" s="25"/>
      <c r="M653" s="25"/>
      <c r="N653" s="27"/>
      <c r="O653" s="27"/>
      <c r="P653" s="27"/>
      <c r="Q653" s="27"/>
      <c r="R653" s="27"/>
      <c r="S653" s="28"/>
      <c r="T653" s="29"/>
      <c r="U653" s="29"/>
      <c r="V653" s="24"/>
      <c r="W653" s="24"/>
    </row>
    <row r="654">
      <c r="A654" s="11">
        <v>45579.0</v>
      </c>
      <c r="B654" s="17">
        <v>16.0</v>
      </c>
      <c r="C654" s="17">
        <v>21.0</v>
      </c>
      <c r="D654" s="17" t="s">
        <v>62</v>
      </c>
      <c r="E654" s="17">
        <v>19.0</v>
      </c>
      <c r="F654" s="18"/>
      <c r="G654" s="17"/>
      <c r="H654" s="17">
        <v>8.78</v>
      </c>
      <c r="I654" s="17">
        <v>0.004</v>
      </c>
      <c r="J654" s="17">
        <v>9.3</v>
      </c>
      <c r="K654" s="17">
        <v>5.6</v>
      </c>
      <c r="L654" s="17">
        <v>25.0</v>
      </c>
      <c r="M654" s="17"/>
      <c r="N654" s="30"/>
      <c r="O654" s="30"/>
      <c r="P654" s="30"/>
      <c r="Q654" s="30"/>
      <c r="R654" s="30"/>
      <c r="S654" s="31"/>
      <c r="T654" s="32"/>
      <c r="U654" s="32"/>
      <c r="V654" s="24"/>
      <c r="W654" s="24"/>
    </row>
    <row r="655">
      <c r="A655" s="11">
        <v>45580.0</v>
      </c>
      <c r="B655" s="17">
        <v>16.0</v>
      </c>
      <c r="C655" s="17">
        <v>22.0</v>
      </c>
      <c r="D655" s="17" t="s">
        <v>62</v>
      </c>
      <c r="E655" s="17">
        <v>19.3</v>
      </c>
      <c r="F655" s="18"/>
      <c r="G655" s="17"/>
      <c r="H655" s="17">
        <v>9.14</v>
      </c>
      <c r="I655" s="17">
        <v>0.007</v>
      </c>
      <c r="J655" s="17">
        <v>9.2</v>
      </c>
      <c r="K655" s="17">
        <v>5.95</v>
      </c>
      <c r="L655" s="17">
        <v>25.0</v>
      </c>
      <c r="M655" s="17">
        <v>20.0</v>
      </c>
      <c r="N655" s="30"/>
      <c r="O655" s="30"/>
      <c r="P655" s="30"/>
      <c r="Q655" s="30"/>
      <c r="R655" s="30"/>
      <c r="S655" s="31"/>
      <c r="T655" s="32"/>
      <c r="U655" s="32"/>
      <c r="V655" s="24"/>
      <c r="W655" s="24"/>
    </row>
    <row r="656">
      <c r="A656" s="11">
        <v>45581.0</v>
      </c>
      <c r="B656" s="17">
        <v>16.0</v>
      </c>
      <c r="C656" s="25"/>
      <c r="D656" s="17" t="s">
        <v>63</v>
      </c>
      <c r="E656" s="17">
        <v>19.3</v>
      </c>
      <c r="F656" s="18"/>
      <c r="G656" s="17"/>
      <c r="H656" s="17">
        <v>9.18</v>
      </c>
      <c r="I656" s="17">
        <v>0.008</v>
      </c>
      <c r="J656" s="17">
        <v>9.2</v>
      </c>
      <c r="K656" s="17">
        <v>5.22</v>
      </c>
      <c r="L656" s="17">
        <v>25.0</v>
      </c>
      <c r="M656" s="17">
        <v>20.0</v>
      </c>
      <c r="N656" s="30"/>
      <c r="O656" s="30"/>
      <c r="P656" s="30"/>
      <c r="Q656" s="30"/>
      <c r="R656" s="30"/>
      <c r="S656" s="31"/>
      <c r="T656" s="32"/>
      <c r="U656" s="32"/>
      <c r="V656" s="24"/>
      <c r="W656" s="24"/>
    </row>
    <row r="657">
      <c r="A657" s="11">
        <v>45582.0</v>
      </c>
      <c r="B657" s="17">
        <v>18.0</v>
      </c>
      <c r="C657" s="17">
        <v>21.0</v>
      </c>
      <c r="D657" s="17" t="s">
        <v>62</v>
      </c>
      <c r="E657" s="17">
        <v>19.1</v>
      </c>
      <c r="F657" s="18"/>
      <c r="G657" s="17"/>
      <c r="H657" s="17">
        <v>9.09</v>
      </c>
      <c r="I657" s="17">
        <v>0.009</v>
      </c>
      <c r="J657" s="17">
        <v>9.2</v>
      </c>
      <c r="K657" s="17">
        <v>6.61</v>
      </c>
      <c r="L657" s="17">
        <v>25.0</v>
      </c>
      <c r="M657" s="17">
        <v>21.0</v>
      </c>
      <c r="N657" s="30"/>
      <c r="O657" s="30"/>
      <c r="P657" s="30"/>
      <c r="Q657" s="30"/>
      <c r="R657" s="30"/>
      <c r="S657" s="31"/>
      <c r="T657" s="32"/>
      <c r="U657" s="32"/>
      <c r="V657" s="24"/>
      <c r="W657" s="24"/>
    </row>
    <row r="658">
      <c r="A658" s="11">
        <v>45583.0</v>
      </c>
      <c r="B658" s="17">
        <v>19.0</v>
      </c>
      <c r="C658" s="17">
        <v>22.0</v>
      </c>
      <c r="D658" s="17" t="s">
        <v>63</v>
      </c>
      <c r="E658" s="17">
        <v>18.5</v>
      </c>
      <c r="F658" s="18"/>
      <c r="G658" s="17"/>
      <c r="H658" s="17">
        <v>8.68</v>
      </c>
      <c r="I658" s="17">
        <v>0.009</v>
      </c>
      <c r="J658" s="17">
        <v>9.2</v>
      </c>
      <c r="K658" s="17">
        <v>6.74</v>
      </c>
      <c r="L658" s="17">
        <v>25.0</v>
      </c>
      <c r="M658" s="17">
        <v>20.0</v>
      </c>
      <c r="N658" s="30"/>
      <c r="O658" s="30"/>
      <c r="P658" s="30"/>
      <c r="Q658" s="30"/>
      <c r="R658" s="30"/>
      <c r="S658" s="31"/>
      <c r="T658" s="32"/>
      <c r="U658" s="32"/>
      <c r="V658" s="24"/>
      <c r="W658" s="24"/>
    </row>
    <row r="659">
      <c r="A659" s="11">
        <v>45584.0</v>
      </c>
      <c r="B659" s="17"/>
      <c r="C659" s="17"/>
      <c r="D659" s="17"/>
      <c r="E659" s="17"/>
      <c r="F659" s="18"/>
      <c r="G659" s="33"/>
      <c r="H659" s="33"/>
      <c r="I659" s="33"/>
      <c r="J659" s="33"/>
      <c r="K659" s="33"/>
      <c r="L659" s="17"/>
      <c r="M659" s="17"/>
      <c r="N659" s="30"/>
      <c r="O659" s="30"/>
      <c r="P659" s="30"/>
      <c r="Q659" s="30"/>
      <c r="R659" s="30"/>
      <c r="S659" s="31"/>
      <c r="T659" s="32"/>
      <c r="U659" s="32"/>
      <c r="V659" s="24"/>
      <c r="W659" s="24"/>
    </row>
    <row r="660">
      <c r="A660" s="11">
        <v>45585.0</v>
      </c>
      <c r="B660" s="17"/>
      <c r="C660" s="17"/>
      <c r="D660" s="17"/>
      <c r="E660" s="17"/>
      <c r="F660" s="18"/>
      <c r="G660" s="33"/>
      <c r="H660" s="33"/>
      <c r="I660" s="33"/>
      <c r="J660" s="17"/>
      <c r="K660" s="25"/>
      <c r="L660" s="25"/>
      <c r="M660" s="25"/>
      <c r="N660" s="27"/>
      <c r="O660" s="27"/>
      <c r="P660" s="27"/>
      <c r="Q660" s="27"/>
      <c r="R660" s="27"/>
      <c r="S660" s="28"/>
      <c r="T660" s="29"/>
      <c r="U660" s="29"/>
      <c r="V660" s="24"/>
      <c r="W660" s="24"/>
    </row>
    <row r="661">
      <c r="A661" s="11">
        <v>45586.0</v>
      </c>
      <c r="B661" s="17">
        <v>14.0</v>
      </c>
      <c r="C661" s="17">
        <v>22.0</v>
      </c>
      <c r="D661" s="17" t="s">
        <v>64</v>
      </c>
      <c r="E661" s="17">
        <v>18.1</v>
      </c>
      <c r="F661" s="18"/>
      <c r="G661" s="17"/>
      <c r="H661" s="17">
        <v>8.39</v>
      </c>
      <c r="I661" s="17">
        <v>0.012</v>
      </c>
      <c r="J661" s="17">
        <v>9.4</v>
      </c>
      <c r="K661" s="17">
        <v>13.03</v>
      </c>
      <c r="L661" s="17">
        <v>23.0</v>
      </c>
      <c r="M661" s="17">
        <v>25.0</v>
      </c>
      <c r="N661" s="30"/>
      <c r="O661" s="30"/>
      <c r="P661" s="30"/>
      <c r="Q661" s="30"/>
      <c r="R661" s="30"/>
      <c r="S661" s="31"/>
      <c r="T661" s="32"/>
      <c r="U661" s="32"/>
      <c r="V661" s="24"/>
      <c r="W661" s="24"/>
    </row>
    <row r="662">
      <c r="A662" s="11">
        <v>45587.0</v>
      </c>
      <c r="B662" s="17">
        <v>17.0</v>
      </c>
      <c r="C662" s="17">
        <v>22.0</v>
      </c>
      <c r="D662" s="17" t="s">
        <v>62</v>
      </c>
      <c r="E662" s="17">
        <v>18.0</v>
      </c>
      <c r="F662" s="18"/>
      <c r="G662" s="17"/>
      <c r="H662" s="17">
        <v>8.49</v>
      </c>
      <c r="I662" s="17">
        <v>0.011</v>
      </c>
      <c r="J662" s="17">
        <v>9.5</v>
      </c>
      <c r="K662" s="17">
        <v>10.65</v>
      </c>
      <c r="L662" s="17">
        <v>22.0</v>
      </c>
      <c r="M662" s="17">
        <v>25.0</v>
      </c>
      <c r="N662" s="30"/>
      <c r="O662" s="30"/>
      <c r="P662" s="30"/>
      <c r="Q662" s="30"/>
      <c r="R662" s="30"/>
      <c r="S662" s="31"/>
      <c r="T662" s="32"/>
      <c r="U662" s="32"/>
      <c r="V662" s="24"/>
      <c r="W662" s="24"/>
    </row>
    <row r="663">
      <c r="A663" s="11">
        <v>45588.0</v>
      </c>
      <c r="B663" s="17">
        <v>18.0</v>
      </c>
      <c r="C663" s="17">
        <v>20.0</v>
      </c>
      <c r="D663" s="17" t="s">
        <v>62</v>
      </c>
      <c r="E663" s="17">
        <v>19.6</v>
      </c>
      <c r="F663" s="18"/>
      <c r="G663" s="17"/>
      <c r="H663" s="17">
        <v>8.58</v>
      </c>
      <c r="I663" s="17">
        <v>0.007</v>
      </c>
      <c r="J663" s="17">
        <v>9.1</v>
      </c>
      <c r="K663" s="17">
        <v>8.36</v>
      </c>
      <c r="L663" s="17">
        <v>23.0</v>
      </c>
      <c r="M663" s="17">
        <v>20.0</v>
      </c>
      <c r="N663" s="30"/>
      <c r="O663" s="30"/>
      <c r="P663" s="30"/>
      <c r="Q663" s="30"/>
      <c r="R663" s="30"/>
      <c r="S663" s="31"/>
      <c r="T663" s="32"/>
      <c r="U663" s="32"/>
      <c r="V663" s="24"/>
      <c r="W663" s="24"/>
    </row>
    <row r="664">
      <c r="A664" s="11">
        <v>45589.0</v>
      </c>
      <c r="B664" s="17">
        <v>17.0</v>
      </c>
      <c r="C664" s="17">
        <v>20.0</v>
      </c>
      <c r="D664" s="17" t="s">
        <v>62</v>
      </c>
      <c r="E664" s="17">
        <v>18.3</v>
      </c>
      <c r="F664" s="18"/>
      <c r="G664" s="17"/>
      <c r="H664" s="17">
        <v>8.26</v>
      </c>
      <c r="I664" s="17">
        <v>0.001</v>
      </c>
      <c r="J664" s="17">
        <v>9.4</v>
      </c>
      <c r="K664" s="17">
        <v>17.07</v>
      </c>
      <c r="L664" s="17">
        <v>22.0</v>
      </c>
      <c r="M664" s="17">
        <v>22.0</v>
      </c>
      <c r="N664" s="30"/>
      <c r="O664" s="30"/>
      <c r="P664" s="30"/>
      <c r="Q664" s="30"/>
      <c r="R664" s="30"/>
      <c r="S664" s="31"/>
      <c r="T664" s="32"/>
      <c r="U664" s="32"/>
      <c r="V664" s="24"/>
      <c r="W664" s="24"/>
    </row>
    <row r="665">
      <c r="A665" s="11">
        <v>45590.0</v>
      </c>
      <c r="B665" s="17">
        <v>17.0</v>
      </c>
      <c r="C665" s="17">
        <v>19.0</v>
      </c>
      <c r="D665" s="17" t="s">
        <v>62</v>
      </c>
      <c r="E665" s="17">
        <v>17.9</v>
      </c>
      <c r="F665" s="18"/>
      <c r="G665" s="17"/>
      <c r="H665" s="17">
        <v>8.45</v>
      </c>
      <c r="I665" s="17">
        <v>0.001</v>
      </c>
      <c r="J665" s="17">
        <v>9.5</v>
      </c>
      <c r="K665" s="17">
        <v>12.07</v>
      </c>
      <c r="L665" s="17">
        <v>22.0</v>
      </c>
      <c r="M665" s="17">
        <v>15.0</v>
      </c>
      <c r="N665" s="30"/>
      <c r="O665" s="30"/>
      <c r="P665" s="30"/>
      <c r="Q665" s="30"/>
      <c r="R665" s="30"/>
      <c r="S665" s="31">
        <v>14.0</v>
      </c>
      <c r="T665" s="32" t="s">
        <v>65</v>
      </c>
      <c r="U665" s="32"/>
      <c r="V665" s="24"/>
      <c r="W665" s="24"/>
    </row>
    <row r="666">
      <c r="A666" s="11">
        <v>45591.0</v>
      </c>
      <c r="B666" s="25"/>
      <c r="C666" s="25"/>
      <c r="D666" s="25"/>
      <c r="E666" s="25"/>
      <c r="F666" s="26"/>
      <c r="G666" s="25"/>
      <c r="H666" s="25"/>
      <c r="I666" s="25"/>
      <c r="J666" s="25"/>
      <c r="K666" s="25"/>
      <c r="L666" s="25"/>
      <c r="M666" s="25"/>
      <c r="N666" s="27"/>
      <c r="O666" s="27"/>
      <c r="P666" s="27"/>
      <c r="Q666" s="27"/>
      <c r="R666" s="27"/>
      <c r="S666" s="28"/>
      <c r="T666" s="29"/>
      <c r="U666" s="29"/>
      <c r="V666" s="24"/>
      <c r="W666" s="24"/>
    </row>
    <row r="667">
      <c r="A667" s="11">
        <v>45592.0</v>
      </c>
      <c r="B667" s="25"/>
      <c r="C667" s="25"/>
      <c r="D667" s="25"/>
      <c r="E667" s="25"/>
      <c r="F667" s="26"/>
      <c r="G667" s="25"/>
      <c r="H667" s="25"/>
      <c r="I667" s="25"/>
      <c r="J667" s="25"/>
      <c r="K667" s="25"/>
      <c r="L667" s="25"/>
      <c r="M667" s="25"/>
      <c r="N667" s="27"/>
      <c r="O667" s="27"/>
      <c r="P667" s="27"/>
      <c r="Q667" s="27"/>
      <c r="R667" s="27"/>
      <c r="S667" s="28"/>
      <c r="T667" s="29"/>
      <c r="U667" s="29"/>
      <c r="V667" s="24"/>
      <c r="W667" s="24"/>
    </row>
    <row r="668">
      <c r="A668" s="11">
        <v>45593.0</v>
      </c>
      <c r="B668" s="17">
        <v>17.0</v>
      </c>
      <c r="C668" s="17">
        <v>21.0</v>
      </c>
      <c r="D668" s="17" t="s">
        <v>66</v>
      </c>
      <c r="E668" s="17">
        <v>18.5</v>
      </c>
      <c r="F668" s="18"/>
      <c r="G668" s="17"/>
      <c r="H668" s="17">
        <v>8.36</v>
      </c>
      <c r="I668" s="17">
        <v>0.001</v>
      </c>
      <c r="J668" s="17">
        <v>9.4</v>
      </c>
      <c r="K668" s="17">
        <v>13.53</v>
      </c>
      <c r="L668" s="17">
        <v>22.0</v>
      </c>
      <c r="M668" s="17">
        <v>17.0</v>
      </c>
      <c r="N668" s="30"/>
      <c r="O668" s="30"/>
      <c r="P668" s="30"/>
      <c r="Q668" s="30"/>
      <c r="R668" s="30"/>
      <c r="S668" s="31"/>
      <c r="T668" s="32"/>
      <c r="U668" s="32"/>
      <c r="V668" s="24"/>
      <c r="W668" s="24"/>
    </row>
    <row r="669">
      <c r="A669" s="11">
        <v>45594.0</v>
      </c>
      <c r="B669" s="17">
        <v>14.0</v>
      </c>
      <c r="C669" s="17">
        <v>20.0</v>
      </c>
      <c r="D669" s="17" t="s">
        <v>67</v>
      </c>
      <c r="E669" s="17">
        <v>18.0</v>
      </c>
      <c r="F669" s="18"/>
      <c r="G669" s="17"/>
      <c r="H669" s="17">
        <v>8.39</v>
      </c>
      <c r="I669" s="17">
        <v>0.001</v>
      </c>
      <c r="J669" s="17">
        <v>9.5</v>
      </c>
      <c r="K669" s="17">
        <v>13.13</v>
      </c>
      <c r="L669" s="17">
        <v>22.0</v>
      </c>
      <c r="M669" s="17">
        <v>15.0</v>
      </c>
      <c r="N669" s="30"/>
      <c r="O669" s="30"/>
      <c r="P669" s="30"/>
      <c r="Q669" s="30"/>
      <c r="R669" s="30"/>
      <c r="S669" s="31"/>
      <c r="T669" s="32"/>
      <c r="U669" s="32"/>
      <c r="V669" s="24"/>
      <c r="W669" s="24"/>
    </row>
    <row r="670">
      <c r="A670" s="11">
        <v>45595.0</v>
      </c>
      <c r="B670" s="17">
        <v>13.0</v>
      </c>
      <c r="C670" s="17">
        <v>21.0</v>
      </c>
      <c r="D670" s="17" t="s">
        <v>67</v>
      </c>
      <c r="E670" s="17">
        <v>17.3</v>
      </c>
      <c r="F670" s="18"/>
      <c r="G670" s="17"/>
      <c r="H670" s="17">
        <v>8.44</v>
      </c>
      <c r="I670" s="17">
        <v>0.003</v>
      </c>
      <c r="J670" s="17">
        <v>9.6</v>
      </c>
      <c r="K670" s="17">
        <v>12.43</v>
      </c>
      <c r="L670" s="17">
        <v>25.0</v>
      </c>
      <c r="M670" s="17">
        <v>20.0</v>
      </c>
      <c r="N670" s="30"/>
      <c r="O670" s="30"/>
      <c r="P670" s="30"/>
      <c r="Q670" s="30"/>
      <c r="R670" s="30"/>
      <c r="S670" s="31"/>
      <c r="T670" s="32"/>
      <c r="U670" s="32"/>
      <c r="V670" s="24"/>
      <c r="W670" s="24"/>
    </row>
    <row r="671">
      <c r="A671" s="11">
        <v>45596.0</v>
      </c>
      <c r="B671" s="17">
        <v>11.0</v>
      </c>
      <c r="C671" s="17">
        <v>20.0</v>
      </c>
      <c r="D671" s="17" t="s">
        <v>64</v>
      </c>
      <c r="E671" s="17">
        <v>17.3</v>
      </c>
      <c r="F671" s="18"/>
      <c r="G671" s="17"/>
      <c r="H671" s="17">
        <v>8.38</v>
      </c>
      <c r="I671" s="17">
        <v>0.004</v>
      </c>
      <c r="J671" s="17">
        <v>9.6</v>
      </c>
      <c r="K671" s="17">
        <v>14.13</v>
      </c>
      <c r="L671" s="17">
        <v>25.0</v>
      </c>
      <c r="M671" s="17">
        <v>28.0</v>
      </c>
      <c r="N671" s="30"/>
      <c r="O671" s="30"/>
      <c r="P671" s="30"/>
      <c r="Q671" s="30"/>
      <c r="R671" s="30"/>
      <c r="S671" s="31"/>
      <c r="T671" s="32"/>
      <c r="U671" s="32"/>
      <c r="V671" s="24"/>
      <c r="W671" s="24"/>
    </row>
    <row r="672">
      <c r="A672" s="11">
        <v>45597.0</v>
      </c>
      <c r="B672" s="25"/>
      <c r="C672" s="25"/>
      <c r="D672" s="25"/>
      <c r="E672" s="25"/>
      <c r="F672" s="26"/>
      <c r="G672" s="25"/>
      <c r="H672" s="25"/>
      <c r="I672" s="25"/>
      <c r="J672" s="25"/>
      <c r="K672" s="25"/>
      <c r="L672" s="25"/>
      <c r="M672" s="25"/>
      <c r="N672" s="27"/>
      <c r="O672" s="27"/>
      <c r="P672" s="27"/>
      <c r="Q672" s="27"/>
      <c r="R672" s="27"/>
      <c r="S672" s="28"/>
      <c r="T672" s="29"/>
      <c r="U672" s="29"/>
      <c r="V672" s="24"/>
      <c r="W672" s="24"/>
    </row>
    <row r="673">
      <c r="A673" s="11">
        <v>45598.0</v>
      </c>
      <c r="B673" s="17"/>
      <c r="C673" s="25"/>
      <c r="D673" s="25"/>
      <c r="E673" s="25"/>
      <c r="F673" s="26"/>
      <c r="G673" s="25"/>
      <c r="H673" s="25"/>
      <c r="I673" s="25"/>
      <c r="J673" s="25"/>
      <c r="K673" s="17"/>
      <c r="L673" s="25"/>
      <c r="M673" s="25"/>
      <c r="N673" s="27"/>
      <c r="O673" s="27"/>
      <c r="P673" s="27"/>
      <c r="Q673" s="27"/>
      <c r="R673" s="27"/>
      <c r="S673" s="28"/>
      <c r="T673" s="29"/>
      <c r="U673" s="29"/>
      <c r="V673" s="24"/>
      <c r="W673" s="24"/>
    </row>
    <row r="674">
      <c r="A674" s="11">
        <v>45599.0</v>
      </c>
      <c r="B674" s="17">
        <v>13.0</v>
      </c>
      <c r="C674" s="17">
        <v>15.0</v>
      </c>
      <c r="D674" s="17" t="s">
        <v>67</v>
      </c>
      <c r="E674" s="17">
        <v>16.6</v>
      </c>
      <c r="F674" s="18"/>
      <c r="G674" s="17"/>
      <c r="H674" s="17">
        <v>8.26</v>
      </c>
      <c r="I674" s="17">
        <v>0.003</v>
      </c>
      <c r="J674" s="17">
        <v>9.8</v>
      </c>
      <c r="K674" s="17">
        <v>19.12</v>
      </c>
      <c r="L674" s="17">
        <v>26.0</v>
      </c>
      <c r="M674" s="17">
        <v>29.0</v>
      </c>
      <c r="N674" s="30"/>
      <c r="O674" s="30"/>
      <c r="P674" s="30"/>
      <c r="Q674" s="30"/>
      <c r="R674" s="30"/>
      <c r="S674" s="31"/>
      <c r="T674" s="32"/>
      <c r="U674" s="32"/>
      <c r="V674" s="24"/>
      <c r="W674" s="24"/>
    </row>
    <row r="675">
      <c r="A675" s="11">
        <v>45600.0</v>
      </c>
      <c r="B675" s="17">
        <v>8.0</v>
      </c>
      <c r="C675" s="17">
        <v>18.0</v>
      </c>
      <c r="D675" s="17" t="s">
        <v>68</v>
      </c>
      <c r="E675" s="17">
        <v>16.0</v>
      </c>
      <c r="F675" s="18"/>
      <c r="G675" s="17"/>
      <c r="H675" s="17">
        <v>8.85</v>
      </c>
      <c r="I675" s="17">
        <v>0.002</v>
      </c>
      <c r="J675" s="17">
        <v>9.9</v>
      </c>
      <c r="K675" s="17">
        <v>6.01</v>
      </c>
      <c r="L675" s="17">
        <v>26.0</v>
      </c>
      <c r="M675" s="17">
        <v>26.0</v>
      </c>
      <c r="N675" s="30"/>
      <c r="O675" s="30"/>
      <c r="P675" s="30"/>
      <c r="Q675" s="30"/>
      <c r="R675" s="30"/>
      <c r="S675" s="31"/>
      <c r="T675" s="32"/>
      <c r="U675" s="32"/>
      <c r="V675" s="24"/>
      <c r="W675" s="24"/>
    </row>
    <row r="676">
      <c r="A676" s="11">
        <v>45601.0</v>
      </c>
      <c r="B676" s="17">
        <v>9.0</v>
      </c>
      <c r="C676" s="17">
        <v>17.0</v>
      </c>
      <c r="D676" s="17" t="s">
        <v>69</v>
      </c>
      <c r="E676" s="17">
        <v>15.5</v>
      </c>
      <c r="F676" s="18"/>
      <c r="G676" s="17"/>
      <c r="H676" s="17">
        <v>9.0</v>
      </c>
      <c r="I676" s="17">
        <v>0.008</v>
      </c>
      <c r="J676" s="17">
        <v>10.0</v>
      </c>
      <c r="K676" s="17">
        <v>4.43</v>
      </c>
      <c r="L676" s="17">
        <v>25.0</v>
      </c>
      <c r="M676" s="17">
        <v>24.0</v>
      </c>
      <c r="N676" s="30"/>
      <c r="O676" s="30"/>
      <c r="P676" s="30"/>
      <c r="Q676" s="30"/>
      <c r="R676" s="30"/>
      <c r="S676" s="31">
        <v>85.96</v>
      </c>
      <c r="T676" s="32" t="s">
        <v>70</v>
      </c>
      <c r="U676" s="32" t="s">
        <v>71</v>
      </c>
      <c r="V676" s="24"/>
      <c r="W676" s="24"/>
    </row>
    <row r="677">
      <c r="A677" s="11">
        <v>45602.0</v>
      </c>
      <c r="B677" s="17">
        <v>4.0</v>
      </c>
      <c r="C677" s="17">
        <v>15.0</v>
      </c>
      <c r="D677" s="17" t="s">
        <v>67</v>
      </c>
      <c r="E677" s="17">
        <v>14.1</v>
      </c>
      <c r="F677" s="18"/>
      <c r="G677" s="17"/>
      <c r="H677" s="17"/>
      <c r="I677" s="17"/>
      <c r="J677" s="17">
        <v>10.3</v>
      </c>
      <c r="K677" s="17"/>
      <c r="L677" s="17">
        <v>26.0</v>
      </c>
      <c r="M677" s="17">
        <v>27.0</v>
      </c>
      <c r="N677" s="30"/>
      <c r="O677" s="30"/>
      <c r="P677" s="30"/>
      <c r="Q677" s="30"/>
      <c r="R677" s="30"/>
      <c r="S677" s="31"/>
      <c r="T677" s="32"/>
      <c r="U677" s="32"/>
      <c r="V677" s="24">
        <f>average(57,25,37)*10000</f>
        <v>396666.6667</v>
      </c>
      <c r="W677" s="24"/>
    </row>
    <row r="678">
      <c r="A678" s="11">
        <v>45603.0</v>
      </c>
      <c r="B678" s="17">
        <v>6.0</v>
      </c>
      <c r="C678" s="17">
        <v>14.0</v>
      </c>
      <c r="D678" s="17" t="s">
        <v>72</v>
      </c>
      <c r="E678" s="17">
        <v>12.8</v>
      </c>
      <c r="F678" s="18"/>
      <c r="G678" s="17"/>
      <c r="H678" s="17"/>
      <c r="I678" s="17"/>
      <c r="J678" s="17">
        <v>10.6</v>
      </c>
      <c r="K678" s="17"/>
      <c r="L678" s="17">
        <v>25.0</v>
      </c>
      <c r="M678" s="17">
        <v>28.0</v>
      </c>
      <c r="N678" s="30"/>
      <c r="O678" s="30"/>
      <c r="P678" s="30"/>
      <c r="Q678" s="30"/>
      <c r="R678" s="30"/>
      <c r="S678" s="31"/>
      <c r="T678" s="32"/>
      <c r="U678" s="32"/>
      <c r="V678" s="24">
        <f>average(61,41,58)*10000</f>
        <v>533333.3333</v>
      </c>
      <c r="W678" s="24"/>
    </row>
    <row r="679">
      <c r="A679" s="11">
        <v>45604.0</v>
      </c>
      <c r="B679" s="19">
        <v>6.0</v>
      </c>
      <c r="C679" s="17">
        <v>15.0</v>
      </c>
      <c r="D679" s="17" t="s">
        <v>72</v>
      </c>
      <c r="E679" s="17">
        <v>13.1</v>
      </c>
      <c r="F679" s="18"/>
      <c r="G679" s="17"/>
      <c r="H679" s="17"/>
      <c r="I679" s="17"/>
      <c r="J679" s="17">
        <v>10.5</v>
      </c>
      <c r="K679" s="17"/>
      <c r="L679" s="17">
        <v>26.0</v>
      </c>
      <c r="M679" s="17">
        <v>25.0</v>
      </c>
      <c r="N679" s="30"/>
      <c r="O679" s="30"/>
      <c r="P679" s="30"/>
      <c r="Q679" s="30"/>
      <c r="R679" s="30"/>
      <c r="S679" s="31"/>
      <c r="T679" s="32"/>
      <c r="U679" s="32"/>
      <c r="V679" s="24">
        <f>average(26,28,25)*10000</f>
        <v>263333.3333</v>
      </c>
      <c r="W679" s="24"/>
    </row>
    <row r="680">
      <c r="A680" s="11">
        <v>45605.0</v>
      </c>
      <c r="B680" s="34"/>
      <c r="C680" s="25"/>
      <c r="D680" s="25"/>
      <c r="E680" s="25"/>
      <c r="F680" s="26"/>
      <c r="G680" s="25"/>
      <c r="H680" s="25"/>
      <c r="I680" s="25"/>
      <c r="J680" s="25"/>
      <c r="K680" s="25"/>
      <c r="L680" s="25"/>
      <c r="M680" s="25"/>
      <c r="N680" s="30"/>
      <c r="O680" s="30"/>
      <c r="P680" s="30"/>
      <c r="Q680" s="30"/>
      <c r="R680" s="30"/>
      <c r="S680" s="31"/>
      <c r="T680" s="32"/>
      <c r="U680" s="32"/>
      <c r="V680" s="24"/>
      <c r="W680" s="24"/>
    </row>
    <row r="681">
      <c r="A681" s="11">
        <v>45606.0</v>
      </c>
      <c r="B681" s="25"/>
      <c r="C681" s="25"/>
      <c r="D681" s="25"/>
      <c r="E681" s="25"/>
      <c r="F681" s="26"/>
      <c r="G681" s="25"/>
      <c r="H681" s="25"/>
      <c r="I681" s="25"/>
      <c r="J681" s="25"/>
      <c r="K681" s="25"/>
      <c r="L681" s="25"/>
      <c r="M681" s="25"/>
      <c r="N681" s="30"/>
      <c r="O681" s="30"/>
      <c r="P681" s="30"/>
      <c r="Q681" s="30"/>
      <c r="R681" s="30"/>
      <c r="S681" s="31"/>
      <c r="T681" s="32"/>
      <c r="U681" s="32"/>
      <c r="V681" s="35"/>
      <c r="W681" s="35"/>
    </row>
    <row r="682">
      <c r="A682" s="11">
        <v>45607.0</v>
      </c>
      <c r="B682" s="17">
        <v>7.0</v>
      </c>
      <c r="C682" s="17">
        <v>15.0</v>
      </c>
      <c r="D682" s="17" t="s">
        <v>64</v>
      </c>
      <c r="E682" s="17">
        <v>12.0</v>
      </c>
      <c r="F682" s="18"/>
      <c r="G682" s="17"/>
      <c r="H682" s="17">
        <v>8.21</v>
      </c>
      <c r="I682" s="17">
        <v>0.01</v>
      </c>
      <c r="J682" s="17">
        <v>10.8</v>
      </c>
      <c r="K682" s="17">
        <v>29.5</v>
      </c>
      <c r="L682" s="17">
        <v>33.0</v>
      </c>
      <c r="M682" s="17">
        <v>35.0</v>
      </c>
      <c r="N682" s="30"/>
      <c r="O682" s="30"/>
      <c r="P682" s="30"/>
      <c r="Q682" s="30"/>
      <c r="R682" s="30"/>
      <c r="S682" s="31"/>
      <c r="T682" s="32"/>
      <c r="U682" s="32"/>
      <c r="V682" s="24">
        <f>average(24,24,32)*10000</f>
        <v>266666.6667</v>
      </c>
      <c r="W682" s="24"/>
    </row>
    <row r="683">
      <c r="A683" s="11">
        <v>45608.0</v>
      </c>
      <c r="B683" s="17">
        <v>6.0</v>
      </c>
      <c r="C683" s="17">
        <v>14.0</v>
      </c>
      <c r="D683" s="17" t="s">
        <v>64</v>
      </c>
      <c r="E683" s="17">
        <v>13.3</v>
      </c>
      <c r="F683" s="18"/>
      <c r="G683" s="17"/>
      <c r="H683" s="17">
        <v>8.45</v>
      </c>
      <c r="I683" s="17">
        <v>0.01</v>
      </c>
      <c r="J683" s="17">
        <v>10.5</v>
      </c>
      <c r="K683" s="17">
        <v>16.01</v>
      </c>
      <c r="L683" s="17">
        <v>33.0</v>
      </c>
      <c r="M683" s="17">
        <v>38.0</v>
      </c>
      <c r="N683" s="30"/>
      <c r="O683" s="30"/>
      <c r="P683" s="30"/>
      <c r="Q683" s="30"/>
      <c r="R683" s="30"/>
      <c r="S683" s="31"/>
      <c r="T683" s="32"/>
      <c r="U683" s="32"/>
      <c r="V683" s="24">
        <f>AVERAGE(21,14,27,20)*10000</f>
        <v>205000</v>
      </c>
      <c r="W683" s="24"/>
    </row>
    <row r="684">
      <c r="A684" s="11">
        <v>45609.0</v>
      </c>
      <c r="B684" s="19">
        <v>6.0</v>
      </c>
      <c r="C684" s="17">
        <v>14.0</v>
      </c>
      <c r="D684" s="17" t="s">
        <v>64</v>
      </c>
      <c r="E684" s="17">
        <v>13.8</v>
      </c>
      <c r="F684" s="18"/>
      <c r="G684" s="17"/>
      <c r="H684" s="17">
        <v>8.42</v>
      </c>
      <c r="I684" s="17">
        <v>0.009</v>
      </c>
      <c r="J684" s="17">
        <v>10.4</v>
      </c>
      <c r="K684" s="17">
        <v>16.5</v>
      </c>
      <c r="L684" s="17">
        <v>34.0</v>
      </c>
      <c r="M684" s="17">
        <v>40.0</v>
      </c>
      <c r="N684" s="30"/>
      <c r="O684" s="30"/>
      <c r="P684" s="30"/>
      <c r="Q684" s="30"/>
      <c r="R684" s="30"/>
      <c r="S684" s="31"/>
      <c r="T684" s="32"/>
      <c r="U684" s="32"/>
      <c r="V684" s="24">
        <f>AVERAGE(12,12,8,8)*10000</f>
        <v>100000</v>
      </c>
      <c r="W684" s="24"/>
    </row>
    <row r="685">
      <c r="A685" s="11">
        <v>45610.0</v>
      </c>
      <c r="B685" s="19">
        <v>5.0</v>
      </c>
      <c r="C685" s="17">
        <v>11.0</v>
      </c>
      <c r="D685" s="17" t="s">
        <v>73</v>
      </c>
      <c r="E685" s="17">
        <v>14.6</v>
      </c>
      <c r="F685" s="18"/>
      <c r="G685" s="17"/>
      <c r="H685" s="17">
        <v>8.49</v>
      </c>
      <c r="I685" s="17">
        <v>0.008</v>
      </c>
      <c r="J685" s="17">
        <v>10.2</v>
      </c>
      <c r="K685" s="17">
        <v>14.81</v>
      </c>
      <c r="L685" s="17">
        <v>35.0</v>
      </c>
      <c r="M685" s="25"/>
      <c r="N685" s="30"/>
      <c r="O685" s="30"/>
      <c r="P685" s="30"/>
      <c r="Q685" s="30"/>
      <c r="R685" s="30"/>
      <c r="S685" s="31"/>
      <c r="T685" s="32"/>
      <c r="U685" s="32"/>
      <c r="V685" s="24">
        <f>AVERAGE(13,5,10,10,9)*10000</f>
        <v>94000</v>
      </c>
      <c r="W685" s="24"/>
    </row>
    <row r="686">
      <c r="A686" s="11">
        <v>45611.0</v>
      </c>
      <c r="B686" s="17">
        <v>2.0</v>
      </c>
      <c r="C686" s="17">
        <v>12.0</v>
      </c>
      <c r="D686" s="17" t="s">
        <v>64</v>
      </c>
      <c r="E686" s="17">
        <v>10.6</v>
      </c>
      <c r="F686" s="18"/>
      <c r="G686" s="17"/>
      <c r="H686" s="17">
        <v>8.53</v>
      </c>
      <c r="I686" s="17">
        <v>0.001</v>
      </c>
      <c r="J686" s="17">
        <v>11.1</v>
      </c>
      <c r="K686" s="17">
        <v>16.14</v>
      </c>
      <c r="L686" s="17">
        <v>25.0</v>
      </c>
      <c r="M686" s="17">
        <v>20.0</v>
      </c>
      <c r="N686" s="30"/>
      <c r="O686" s="30"/>
      <c r="P686" s="30"/>
      <c r="Q686" s="30"/>
      <c r="R686" s="30"/>
      <c r="S686" s="31"/>
      <c r="T686" s="32"/>
      <c r="U686" s="32"/>
      <c r="V686" s="24">
        <f>AVERAGE(7,8,10,8,7)*10000</f>
        <v>80000</v>
      </c>
      <c r="W686" s="24"/>
    </row>
    <row r="687">
      <c r="A687" s="11">
        <v>45612.0</v>
      </c>
      <c r="B687" s="25"/>
      <c r="C687" s="25"/>
      <c r="D687" s="25"/>
      <c r="E687" s="25"/>
      <c r="F687" s="26"/>
      <c r="G687" s="25"/>
      <c r="H687" s="25"/>
      <c r="I687" s="25"/>
      <c r="J687" s="25"/>
      <c r="K687" s="25"/>
      <c r="L687" s="25"/>
      <c r="M687" s="25"/>
      <c r="N687" s="30"/>
      <c r="O687" s="30"/>
      <c r="P687" s="30"/>
      <c r="Q687" s="30"/>
      <c r="R687" s="30"/>
      <c r="S687" s="31"/>
      <c r="T687" s="32"/>
      <c r="U687" s="32"/>
      <c r="V687" s="24"/>
      <c r="W687" s="24"/>
    </row>
    <row r="688">
      <c r="A688" s="11">
        <v>45613.0</v>
      </c>
      <c r="B688" s="25"/>
      <c r="C688" s="25"/>
      <c r="D688" s="25"/>
      <c r="E688" s="25"/>
      <c r="F688" s="26"/>
      <c r="G688" s="25"/>
      <c r="H688" s="25"/>
      <c r="I688" s="25"/>
      <c r="J688" s="25"/>
      <c r="K688" s="25"/>
      <c r="L688" s="25"/>
      <c r="M688" s="25"/>
      <c r="N688" s="30"/>
      <c r="O688" s="30"/>
      <c r="P688" s="30"/>
      <c r="Q688" s="30"/>
      <c r="R688" s="30"/>
      <c r="S688" s="31"/>
      <c r="T688" s="32"/>
      <c r="U688" s="32"/>
      <c r="V688" s="24"/>
      <c r="W688" s="24"/>
    </row>
    <row r="689">
      <c r="A689" s="11">
        <v>45614.0</v>
      </c>
      <c r="B689" s="17">
        <v>6.0</v>
      </c>
      <c r="C689" s="17">
        <v>12.0</v>
      </c>
      <c r="D689" s="17" t="s">
        <v>62</v>
      </c>
      <c r="E689" s="17">
        <v>9.5</v>
      </c>
      <c r="F689" s="18"/>
      <c r="G689" s="17"/>
      <c r="H689" s="17">
        <v>8.56</v>
      </c>
      <c r="I689" s="17">
        <v>0.001</v>
      </c>
      <c r="J689" s="17">
        <v>11.4</v>
      </c>
      <c r="K689" s="17">
        <v>16.35</v>
      </c>
      <c r="L689" s="17">
        <v>21.0</v>
      </c>
      <c r="M689" s="17">
        <v>25.0</v>
      </c>
      <c r="N689" s="30"/>
      <c r="O689" s="30"/>
      <c r="P689" s="30"/>
      <c r="Q689" s="30"/>
      <c r="R689" s="30"/>
      <c r="S689" s="31">
        <v>19.34</v>
      </c>
      <c r="T689" s="32" t="s">
        <v>74</v>
      </c>
      <c r="U689" s="32"/>
      <c r="V689" s="24">
        <f>AVERAGE(4,3,4,4)*10000</f>
        <v>37500</v>
      </c>
      <c r="W689" s="24"/>
    </row>
    <row r="690">
      <c r="A690" s="11">
        <v>45615.0</v>
      </c>
      <c r="B690" s="17">
        <v>7.0</v>
      </c>
      <c r="C690" s="17">
        <v>13.0</v>
      </c>
      <c r="D690" s="17" t="s">
        <v>75</v>
      </c>
      <c r="E690" s="17"/>
      <c r="F690" s="18"/>
      <c r="G690" s="25"/>
      <c r="H690" s="25"/>
      <c r="I690" s="25"/>
      <c r="J690" s="25"/>
      <c r="K690" s="25"/>
      <c r="L690" s="17">
        <v>21.0</v>
      </c>
      <c r="M690" s="25"/>
      <c r="N690" s="30"/>
      <c r="O690" s="30"/>
      <c r="P690" s="30"/>
      <c r="Q690" s="30"/>
      <c r="R690" s="30"/>
      <c r="S690" s="31"/>
      <c r="T690" s="32"/>
      <c r="U690" s="32"/>
      <c r="V690" s="24">
        <f>AVERAGE(4,5,7,8)*10000</f>
        <v>60000</v>
      </c>
      <c r="W690" s="24"/>
    </row>
    <row r="691">
      <c r="A691" s="11">
        <v>45616.0</v>
      </c>
      <c r="B691" s="17">
        <v>4.0</v>
      </c>
      <c r="C691" s="17">
        <v>14.0</v>
      </c>
      <c r="D691" s="17" t="s">
        <v>76</v>
      </c>
      <c r="E691" s="17"/>
      <c r="F691" s="18"/>
      <c r="G691" s="25"/>
      <c r="H691" s="25"/>
      <c r="I691" s="25"/>
      <c r="J691" s="25"/>
      <c r="K691" s="25"/>
      <c r="L691" s="17">
        <v>22.0</v>
      </c>
      <c r="M691" s="17">
        <v>25.0</v>
      </c>
      <c r="N691" s="30"/>
      <c r="O691" s="30"/>
      <c r="P691" s="30"/>
      <c r="Q691" s="30"/>
      <c r="R691" s="30"/>
      <c r="S691" s="31"/>
      <c r="T691" s="32"/>
      <c r="U691" s="32"/>
      <c r="V691" s="24">
        <f>AVERAGE(6,3,7,6)*10000</f>
        <v>55000</v>
      </c>
      <c r="W691" s="24"/>
    </row>
    <row r="692">
      <c r="A692" s="11">
        <v>45617.0</v>
      </c>
      <c r="B692" s="17">
        <v>-1.0</v>
      </c>
      <c r="C692" s="17">
        <v>10.0</v>
      </c>
      <c r="D692" s="17" t="s">
        <v>77</v>
      </c>
      <c r="E692" s="17"/>
      <c r="F692" s="18"/>
      <c r="G692" s="25"/>
      <c r="H692" s="25"/>
      <c r="I692" s="25"/>
      <c r="J692" s="25"/>
      <c r="K692" s="25"/>
      <c r="L692" s="17">
        <v>25.0</v>
      </c>
      <c r="M692" s="17">
        <v>26.0</v>
      </c>
      <c r="N692" s="30"/>
      <c r="O692" s="30"/>
      <c r="P692" s="30"/>
      <c r="Q692" s="30"/>
      <c r="R692" s="30"/>
      <c r="S692" s="31"/>
      <c r="T692" s="32"/>
      <c r="U692" s="32"/>
      <c r="V692" s="24">
        <f>AVERAGE(6,7,4,8)*10000</f>
        <v>62500</v>
      </c>
      <c r="W692" s="24"/>
    </row>
    <row r="693">
      <c r="A693" s="11">
        <v>45618.0</v>
      </c>
      <c r="B693" s="17">
        <v>2.0</v>
      </c>
      <c r="C693" s="17">
        <v>9.0</v>
      </c>
      <c r="D693" s="17" t="s">
        <v>62</v>
      </c>
      <c r="E693" s="17"/>
      <c r="F693" s="18"/>
      <c r="G693" s="25"/>
      <c r="H693" s="25"/>
      <c r="I693" s="25"/>
      <c r="J693" s="25"/>
      <c r="K693" s="25"/>
      <c r="L693" s="17">
        <v>24.0</v>
      </c>
      <c r="M693" s="17">
        <v>25.0</v>
      </c>
      <c r="N693" s="30"/>
      <c r="O693" s="30"/>
      <c r="P693" s="30"/>
      <c r="Q693" s="30"/>
      <c r="R693" s="30"/>
      <c r="S693" s="31"/>
      <c r="T693" s="32"/>
      <c r="U693" s="32"/>
      <c r="V693" s="24">
        <f>AVERAGE(23,16,32,18)*10000</f>
        <v>222500</v>
      </c>
      <c r="W693" s="24"/>
    </row>
    <row r="694">
      <c r="A694" s="11">
        <v>45619.0</v>
      </c>
      <c r="B694" s="25"/>
      <c r="C694" s="25"/>
      <c r="D694" s="25"/>
      <c r="E694" s="25"/>
      <c r="F694" s="26"/>
      <c r="G694" s="25"/>
      <c r="H694" s="25"/>
      <c r="I694" s="25"/>
      <c r="J694" s="25"/>
      <c r="K694" s="25"/>
      <c r="L694" s="25"/>
      <c r="M694" s="25"/>
      <c r="N694" s="30"/>
      <c r="O694" s="30"/>
      <c r="P694" s="30"/>
      <c r="Q694" s="30"/>
      <c r="R694" s="30"/>
      <c r="S694" s="31"/>
      <c r="T694" s="32"/>
      <c r="U694" s="32"/>
      <c r="V694" s="24"/>
      <c r="W694" s="24"/>
    </row>
    <row r="695">
      <c r="A695" s="11">
        <v>45620.0</v>
      </c>
      <c r="B695" s="25"/>
      <c r="C695" s="25"/>
      <c r="D695" s="25"/>
      <c r="E695" s="25"/>
      <c r="F695" s="26"/>
      <c r="G695" s="25"/>
      <c r="H695" s="25"/>
      <c r="I695" s="25"/>
      <c r="J695" s="25"/>
      <c r="K695" s="25"/>
      <c r="L695" s="25"/>
      <c r="M695" s="25"/>
      <c r="N695" s="30"/>
      <c r="O695" s="30"/>
      <c r="P695" s="30"/>
      <c r="Q695" s="30"/>
      <c r="R695" s="30"/>
      <c r="S695" s="31"/>
      <c r="T695" s="32"/>
      <c r="U695" s="32"/>
      <c r="V695" s="24"/>
      <c r="W695" s="24"/>
    </row>
    <row r="696">
      <c r="A696" s="11">
        <v>45621.0</v>
      </c>
      <c r="B696" s="17">
        <v>0.0</v>
      </c>
      <c r="C696" s="17">
        <v>9.0</v>
      </c>
      <c r="D696" s="17" t="s">
        <v>69</v>
      </c>
      <c r="E696" s="17"/>
      <c r="F696" s="18"/>
      <c r="G696" s="25"/>
      <c r="H696" s="25"/>
      <c r="I696" s="25"/>
      <c r="J696" s="25"/>
      <c r="K696" s="25"/>
      <c r="L696" s="17">
        <v>23.0</v>
      </c>
      <c r="M696" s="17">
        <v>27.0</v>
      </c>
      <c r="N696" s="30"/>
      <c r="O696" s="30"/>
      <c r="P696" s="30"/>
      <c r="Q696" s="30"/>
      <c r="R696" s="30"/>
      <c r="S696" s="31"/>
      <c r="T696" s="32"/>
      <c r="U696" s="32"/>
      <c r="V696" s="24">
        <f>AVERAGE(5,7,9,8)*10000</f>
        <v>72500</v>
      </c>
      <c r="W696" s="24"/>
    </row>
    <row r="697">
      <c r="A697" s="11">
        <v>45622.0</v>
      </c>
      <c r="B697" s="17">
        <v>2.0</v>
      </c>
      <c r="C697" s="17">
        <v>9.0</v>
      </c>
      <c r="D697" s="17" t="s">
        <v>78</v>
      </c>
      <c r="E697" s="17"/>
      <c r="F697" s="18"/>
      <c r="G697" s="25"/>
      <c r="H697" s="25"/>
      <c r="I697" s="25"/>
      <c r="J697" s="25"/>
      <c r="K697" s="25"/>
      <c r="L697" s="17">
        <v>23.0</v>
      </c>
      <c r="M697" s="17">
        <v>25.0</v>
      </c>
      <c r="N697" s="30"/>
      <c r="O697" s="30"/>
      <c r="P697" s="30"/>
      <c r="Q697" s="30"/>
      <c r="R697" s="30"/>
      <c r="S697" s="31"/>
      <c r="T697" s="32"/>
      <c r="U697" s="32"/>
      <c r="V697" s="24">
        <f>AVERAGE(12,15,13)*10000</f>
        <v>133333.3333</v>
      </c>
      <c r="W697" s="24"/>
    </row>
    <row r="698">
      <c r="A698" s="11">
        <v>45623.0</v>
      </c>
      <c r="B698" s="17">
        <v>5.0</v>
      </c>
      <c r="C698" s="17">
        <v>12.0</v>
      </c>
      <c r="D698" s="17" t="s">
        <v>79</v>
      </c>
      <c r="E698" s="17">
        <v>11.0</v>
      </c>
      <c r="F698" s="18"/>
      <c r="G698" s="25"/>
      <c r="H698" s="25"/>
      <c r="I698" s="25"/>
      <c r="J698" s="25"/>
      <c r="K698" s="25"/>
      <c r="L698" s="17">
        <v>21.0</v>
      </c>
      <c r="M698" s="17">
        <v>24.0</v>
      </c>
      <c r="N698" s="30"/>
      <c r="O698" s="30"/>
      <c r="P698" s="30"/>
      <c r="Q698" s="30"/>
      <c r="R698" s="30"/>
      <c r="S698" s="31"/>
      <c r="T698" s="32"/>
      <c r="U698" s="32"/>
      <c r="V698" s="24">
        <f>AVERAGE(5,6,8)*10000</f>
        <v>63333.33333</v>
      </c>
      <c r="W698" s="24"/>
    </row>
    <row r="699">
      <c r="A699" s="11">
        <v>45624.0</v>
      </c>
      <c r="B699" s="17">
        <v>5.0</v>
      </c>
      <c r="C699" s="17">
        <v>10.0</v>
      </c>
      <c r="D699" s="17" t="s">
        <v>78</v>
      </c>
      <c r="E699" s="17">
        <v>12.0</v>
      </c>
      <c r="F699" s="18"/>
      <c r="G699" s="25"/>
      <c r="H699" s="25"/>
      <c r="I699" s="25"/>
      <c r="J699" s="25"/>
      <c r="K699" s="25"/>
      <c r="L699" s="17">
        <v>24.0</v>
      </c>
      <c r="M699" s="17">
        <v>25.0</v>
      </c>
      <c r="N699" s="30"/>
      <c r="O699" s="30"/>
      <c r="P699" s="30"/>
      <c r="Q699" s="30"/>
      <c r="R699" s="30"/>
      <c r="S699" s="31"/>
      <c r="T699" s="32"/>
      <c r="U699" s="32"/>
      <c r="V699" s="24">
        <f>AVERAGE(9,9,4)*10000</f>
        <v>73333.33333</v>
      </c>
      <c r="W699" s="24"/>
    </row>
    <row r="700">
      <c r="A700" s="11">
        <v>45625.0</v>
      </c>
      <c r="B700" s="17">
        <v>5.0</v>
      </c>
      <c r="C700" s="17">
        <v>13.0</v>
      </c>
      <c r="D700" s="17" t="s">
        <v>67</v>
      </c>
      <c r="E700" s="17">
        <v>12.0</v>
      </c>
      <c r="F700" s="18"/>
      <c r="G700" s="25"/>
      <c r="H700" s="25"/>
      <c r="I700" s="25"/>
      <c r="J700" s="25"/>
      <c r="K700" s="25"/>
      <c r="L700" s="17">
        <v>25.0</v>
      </c>
      <c r="M700" s="17">
        <v>30.0</v>
      </c>
      <c r="N700" s="30"/>
      <c r="O700" s="30"/>
      <c r="P700" s="30"/>
      <c r="Q700" s="30"/>
      <c r="R700" s="30"/>
      <c r="S700" s="31"/>
      <c r="T700" s="32"/>
      <c r="U700" s="32"/>
      <c r="V700" s="24">
        <f>AVERAGE(5,5,6)*10000</f>
        <v>53333.33333</v>
      </c>
      <c r="W700" s="24"/>
    </row>
    <row r="701">
      <c r="A701" s="11">
        <v>45626.0</v>
      </c>
      <c r="B701" s="25"/>
      <c r="C701" s="25"/>
      <c r="D701" s="25"/>
      <c r="E701" s="25"/>
      <c r="F701" s="26"/>
      <c r="G701" s="25"/>
      <c r="H701" s="25"/>
      <c r="I701" s="25"/>
      <c r="J701" s="25"/>
      <c r="K701" s="25"/>
      <c r="L701" s="25"/>
      <c r="M701" s="25"/>
      <c r="N701" s="30"/>
      <c r="O701" s="30"/>
      <c r="P701" s="30"/>
      <c r="Q701" s="30"/>
      <c r="R701" s="30"/>
      <c r="S701" s="31"/>
      <c r="T701" s="32"/>
      <c r="U701" s="32"/>
      <c r="V701" s="24"/>
      <c r="W701" s="24"/>
    </row>
    <row r="702">
      <c r="A702" s="11">
        <v>45627.0</v>
      </c>
      <c r="B702" s="25"/>
      <c r="C702" s="25"/>
      <c r="D702" s="25"/>
      <c r="E702" s="25"/>
      <c r="F702" s="26"/>
      <c r="G702" s="25"/>
      <c r="H702" s="25"/>
      <c r="I702" s="25"/>
      <c r="J702" s="25"/>
      <c r="K702" s="25"/>
      <c r="L702" s="25"/>
      <c r="M702" s="25"/>
      <c r="N702" s="30"/>
      <c r="O702" s="30"/>
      <c r="P702" s="30"/>
      <c r="Q702" s="30"/>
      <c r="R702" s="30"/>
      <c r="S702" s="31"/>
      <c r="T702" s="32"/>
      <c r="U702" s="32"/>
      <c r="V702" s="24"/>
      <c r="W702" s="24"/>
    </row>
    <row r="703">
      <c r="A703" s="11">
        <v>45628.0</v>
      </c>
      <c r="B703" s="17">
        <v>0.0</v>
      </c>
      <c r="C703" s="17">
        <v>12.0</v>
      </c>
      <c r="D703" s="17" t="s">
        <v>64</v>
      </c>
      <c r="E703" s="17">
        <v>10.0</v>
      </c>
      <c r="F703" s="18"/>
      <c r="G703" s="25"/>
      <c r="H703" s="25"/>
      <c r="I703" s="25"/>
      <c r="J703" s="25"/>
      <c r="K703" s="25"/>
      <c r="L703" s="17">
        <v>29.0</v>
      </c>
      <c r="M703" s="17">
        <v>30.0</v>
      </c>
      <c r="N703" s="30"/>
      <c r="O703" s="30"/>
      <c r="P703" s="30"/>
      <c r="Q703" s="30"/>
      <c r="R703" s="30"/>
      <c r="S703" s="31"/>
      <c r="T703" s="32"/>
      <c r="U703" s="32"/>
      <c r="V703" s="24">
        <f>AVERAGE(12,14)*10000</f>
        <v>130000</v>
      </c>
      <c r="W703" s="24"/>
    </row>
    <row r="704">
      <c r="A704" s="11">
        <v>45629.0</v>
      </c>
      <c r="B704" s="17">
        <v>0.0</v>
      </c>
      <c r="C704" s="17">
        <v>10.0</v>
      </c>
      <c r="D704" s="17" t="s">
        <v>62</v>
      </c>
      <c r="E704" s="17">
        <v>7.0</v>
      </c>
      <c r="F704" s="18"/>
      <c r="G704" s="25"/>
      <c r="H704" s="25"/>
      <c r="I704" s="25"/>
      <c r="J704" s="25"/>
      <c r="K704" s="25"/>
      <c r="L704" s="17">
        <v>28.0</v>
      </c>
      <c r="M704" s="17">
        <v>30.0</v>
      </c>
      <c r="N704" s="30"/>
      <c r="O704" s="30"/>
      <c r="P704" s="30"/>
      <c r="Q704" s="30"/>
      <c r="R704" s="30"/>
      <c r="S704" s="31">
        <v>6.53</v>
      </c>
      <c r="T704" s="32"/>
      <c r="U704" s="32"/>
      <c r="V704" s="24">
        <f>AVERAGE(17,12,13)*10000</f>
        <v>140000</v>
      </c>
      <c r="W704" s="24"/>
    </row>
    <row r="705">
      <c r="A705" s="11">
        <v>45630.0</v>
      </c>
      <c r="B705" s="17">
        <v>8.0</v>
      </c>
      <c r="C705" s="17">
        <v>12.0</v>
      </c>
      <c r="D705" s="17" t="s">
        <v>62</v>
      </c>
      <c r="E705" s="17">
        <v>8.0</v>
      </c>
      <c r="F705" s="18"/>
      <c r="G705" s="25"/>
      <c r="H705" s="25"/>
      <c r="I705" s="25"/>
      <c r="J705" s="25"/>
      <c r="K705" s="25"/>
      <c r="L705" s="17">
        <v>25.0</v>
      </c>
      <c r="M705" s="17">
        <v>28.0</v>
      </c>
      <c r="N705" s="30"/>
      <c r="O705" s="30"/>
      <c r="P705" s="30"/>
      <c r="Q705" s="30"/>
      <c r="R705" s="30"/>
      <c r="S705" s="31"/>
      <c r="T705" s="32"/>
      <c r="U705" s="32"/>
      <c r="V705" s="24"/>
      <c r="W705" s="24"/>
    </row>
    <row r="706">
      <c r="A706" s="11">
        <v>45631.0</v>
      </c>
      <c r="B706" s="17">
        <v>3.0</v>
      </c>
      <c r="C706" s="17">
        <v>10.0</v>
      </c>
      <c r="D706" s="17" t="s">
        <v>64</v>
      </c>
      <c r="E706" s="17">
        <v>9.0</v>
      </c>
      <c r="F706" s="18"/>
      <c r="G706" s="25"/>
      <c r="H706" s="25"/>
      <c r="I706" s="25"/>
      <c r="J706" s="25"/>
      <c r="K706" s="25"/>
      <c r="L706" s="17">
        <v>27.0</v>
      </c>
      <c r="M706" s="17">
        <v>31.0</v>
      </c>
      <c r="N706" s="30"/>
      <c r="O706" s="30"/>
      <c r="P706" s="30"/>
      <c r="Q706" s="30"/>
      <c r="R706" s="30"/>
      <c r="S706" s="31"/>
      <c r="T706" s="32"/>
      <c r="U706" s="32"/>
      <c r="V706" s="24">
        <f>AVERAGE(11)*10000</f>
        <v>110000</v>
      </c>
      <c r="W706" s="24"/>
    </row>
    <row r="707">
      <c r="A707" s="11">
        <v>45632.0</v>
      </c>
      <c r="B707" s="17">
        <v>0.0</v>
      </c>
      <c r="C707" s="17">
        <v>9.0</v>
      </c>
      <c r="D707" s="17" t="s">
        <v>80</v>
      </c>
      <c r="E707" s="17">
        <v>7.5</v>
      </c>
      <c r="F707" s="18"/>
      <c r="G707" s="25"/>
      <c r="H707" s="25"/>
      <c r="I707" s="25"/>
      <c r="J707" s="25"/>
      <c r="K707" s="25"/>
      <c r="L707" s="17">
        <v>26.0</v>
      </c>
      <c r="M707" s="17">
        <v>30.0</v>
      </c>
      <c r="N707" s="30"/>
      <c r="O707" s="30"/>
      <c r="P707" s="30"/>
      <c r="Q707" s="30"/>
      <c r="R707" s="30"/>
      <c r="S707" s="31"/>
      <c r="T707" s="32"/>
      <c r="U707" s="32"/>
      <c r="V707" s="36">
        <v>50000.0</v>
      </c>
      <c r="W707" s="24"/>
    </row>
    <row r="708">
      <c r="A708" s="11">
        <v>45633.0</v>
      </c>
      <c r="B708" s="25"/>
      <c r="C708" s="25"/>
      <c r="D708" s="25"/>
      <c r="E708" s="25"/>
      <c r="F708" s="26"/>
      <c r="G708" s="25"/>
      <c r="H708" s="25"/>
      <c r="I708" s="25"/>
      <c r="J708" s="25"/>
      <c r="K708" s="25"/>
      <c r="L708" s="25"/>
      <c r="M708" s="25"/>
      <c r="N708" s="30"/>
      <c r="O708" s="30"/>
      <c r="P708" s="30"/>
      <c r="Q708" s="30"/>
      <c r="R708" s="30"/>
      <c r="S708" s="31"/>
      <c r="T708" s="32"/>
      <c r="U708" s="32"/>
      <c r="V708" s="24"/>
      <c r="W708" s="24"/>
    </row>
    <row r="709">
      <c r="A709" s="11">
        <v>45634.0</v>
      </c>
      <c r="B709" s="17">
        <v>6.0</v>
      </c>
      <c r="C709" s="17">
        <v>10.0</v>
      </c>
      <c r="D709" s="17" t="s">
        <v>81</v>
      </c>
      <c r="E709" s="17">
        <v>7.0</v>
      </c>
      <c r="F709" s="18"/>
      <c r="G709" s="17"/>
      <c r="H709" s="17"/>
      <c r="I709" s="25"/>
      <c r="J709" s="17"/>
      <c r="K709" s="25"/>
      <c r="L709" s="25"/>
      <c r="M709" s="25"/>
      <c r="N709" s="30"/>
      <c r="O709" s="30"/>
      <c r="P709" s="30"/>
      <c r="Q709" s="30"/>
      <c r="R709" s="30"/>
      <c r="S709" s="31"/>
      <c r="T709" s="32"/>
      <c r="U709" s="32"/>
      <c r="V709" s="24"/>
      <c r="W709" s="24"/>
    </row>
    <row r="710">
      <c r="A710" s="11">
        <v>45635.0</v>
      </c>
      <c r="B710" s="17">
        <v>6.0</v>
      </c>
      <c r="C710" s="17">
        <v>10.0</v>
      </c>
      <c r="D710" s="17" t="s">
        <v>79</v>
      </c>
      <c r="E710" s="17">
        <v>8.0</v>
      </c>
      <c r="F710" s="18"/>
      <c r="G710" s="25"/>
      <c r="H710" s="25"/>
      <c r="I710" s="25"/>
      <c r="J710" s="25"/>
      <c r="K710" s="25"/>
      <c r="L710" s="17">
        <v>25.0</v>
      </c>
      <c r="M710" s="17">
        <v>26.0</v>
      </c>
      <c r="N710" s="30"/>
      <c r="O710" s="30"/>
      <c r="P710" s="30"/>
      <c r="Q710" s="30"/>
      <c r="R710" s="30"/>
      <c r="S710" s="31"/>
      <c r="T710" s="32"/>
      <c r="U710" s="32"/>
      <c r="V710" s="24"/>
      <c r="W710" s="24"/>
    </row>
    <row r="711">
      <c r="A711" s="11">
        <v>45636.0</v>
      </c>
      <c r="B711" s="17">
        <v>7.0</v>
      </c>
      <c r="C711" s="17">
        <v>10.0</v>
      </c>
      <c r="D711" s="17" t="s">
        <v>80</v>
      </c>
      <c r="E711" s="17">
        <v>10.0</v>
      </c>
      <c r="F711" s="18"/>
      <c r="G711" s="25"/>
      <c r="H711" s="25"/>
      <c r="I711" s="25"/>
      <c r="J711" s="25"/>
      <c r="K711" s="25"/>
      <c r="L711" s="17">
        <v>23.0</v>
      </c>
      <c r="M711" s="17">
        <v>25.0</v>
      </c>
      <c r="N711" s="30"/>
      <c r="O711" s="30"/>
      <c r="P711" s="30"/>
      <c r="Q711" s="30"/>
      <c r="R711" s="30"/>
      <c r="S711" s="31"/>
      <c r="T711" s="32"/>
      <c r="U711" s="32"/>
      <c r="V711" s="36">
        <v>110000.0</v>
      </c>
      <c r="W711" s="36"/>
    </row>
    <row r="712">
      <c r="A712" s="11">
        <v>45637.0</v>
      </c>
      <c r="B712" s="17">
        <v>3.0</v>
      </c>
      <c r="C712" s="17">
        <v>10.0</v>
      </c>
      <c r="D712" s="17" t="s">
        <v>82</v>
      </c>
      <c r="E712" s="17">
        <v>8.0</v>
      </c>
      <c r="F712" s="18"/>
      <c r="G712" s="25"/>
      <c r="H712" s="25"/>
      <c r="I712" s="25"/>
      <c r="J712" s="25"/>
      <c r="K712" s="25"/>
      <c r="L712" s="17">
        <v>25.0</v>
      </c>
      <c r="M712" s="17">
        <v>27.0</v>
      </c>
      <c r="N712" s="27"/>
      <c r="O712" s="27"/>
      <c r="P712" s="27"/>
      <c r="Q712" s="27"/>
      <c r="R712" s="27"/>
      <c r="S712" s="28"/>
      <c r="T712" s="29"/>
      <c r="U712" s="29"/>
      <c r="V712" s="36">
        <v>200000.0</v>
      </c>
      <c r="W712" s="36"/>
    </row>
    <row r="713">
      <c r="A713" s="11">
        <v>45638.0</v>
      </c>
      <c r="B713" s="17">
        <v>3.0</v>
      </c>
      <c r="C713" s="17">
        <v>8.0</v>
      </c>
      <c r="D713" s="17" t="s">
        <v>64</v>
      </c>
      <c r="E713" s="17">
        <v>9.0</v>
      </c>
      <c r="F713" s="18"/>
      <c r="G713" s="25"/>
      <c r="H713" s="25"/>
      <c r="I713" s="25"/>
      <c r="J713" s="25"/>
      <c r="K713" s="25"/>
      <c r="L713" s="17">
        <v>25.0</v>
      </c>
      <c r="M713" s="17">
        <v>25.0</v>
      </c>
      <c r="N713" s="27"/>
      <c r="O713" s="27"/>
      <c r="P713" s="27"/>
      <c r="Q713" s="27"/>
      <c r="R713" s="27"/>
      <c r="S713" s="28"/>
      <c r="T713" s="29"/>
      <c r="U713" s="29"/>
      <c r="V713" s="24"/>
      <c r="W713" s="24"/>
    </row>
    <row r="714">
      <c r="A714" s="11">
        <v>45639.0</v>
      </c>
      <c r="B714" s="17">
        <v>0.0</v>
      </c>
      <c r="C714" s="17">
        <v>8.0</v>
      </c>
      <c r="D714" s="17" t="s">
        <v>64</v>
      </c>
      <c r="E714" s="17">
        <v>6.0</v>
      </c>
      <c r="F714" s="18"/>
      <c r="G714" s="25"/>
      <c r="H714" s="25"/>
      <c r="I714" s="25"/>
      <c r="J714" s="25"/>
      <c r="K714" s="25"/>
      <c r="L714" s="17">
        <v>26.0</v>
      </c>
      <c r="M714" s="17">
        <v>29.0</v>
      </c>
      <c r="N714" s="27"/>
      <c r="O714" s="27"/>
      <c r="P714" s="27"/>
      <c r="Q714" s="27"/>
      <c r="R714" s="27"/>
      <c r="S714" s="28"/>
      <c r="T714" s="29"/>
      <c r="U714" s="29"/>
      <c r="V714" s="24"/>
      <c r="W714" s="24"/>
    </row>
    <row r="715">
      <c r="A715" s="11">
        <v>45640.0</v>
      </c>
      <c r="B715" s="25"/>
      <c r="C715" s="25"/>
      <c r="D715" s="25"/>
      <c r="E715" s="25"/>
      <c r="F715" s="26"/>
      <c r="G715" s="25"/>
      <c r="H715" s="25"/>
      <c r="I715" s="25"/>
      <c r="J715" s="25"/>
      <c r="K715" s="25"/>
      <c r="L715" s="25"/>
      <c r="M715" s="25"/>
      <c r="N715" s="27"/>
      <c r="O715" s="27"/>
      <c r="P715" s="27"/>
      <c r="Q715" s="27"/>
      <c r="R715" s="27"/>
      <c r="S715" s="28"/>
      <c r="T715" s="29"/>
      <c r="U715" s="29"/>
      <c r="V715" s="24"/>
      <c r="W715" s="24"/>
    </row>
    <row r="716">
      <c r="A716" s="11">
        <v>45641.0</v>
      </c>
      <c r="B716" s="25"/>
      <c r="C716" s="25"/>
      <c r="D716" s="25"/>
      <c r="E716" s="25"/>
      <c r="F716" s="26"/>
      <c r="G716" s="25"/>
      <c r="H716" s="25"/>
      <c r="I716" s="25"/>
      <c r="J716" s="25"/>
      <c r="K716" s="25"/>
      <c r="L716" s="25"/>
      <c r="M716" s="25"/>
      <c r="N716" s="27"/>
      <c r="O716" s="27"/>
      <c r="P716" s="27"/>
      <c r="Q716" s="27"/>
      <c r="R716" s="27"/>
      <c r="S716" s="28"/>
      <c r="T716" s="29"/>
      <c r="U716" s="29"/>
      <c r="V716" s="24"/>
      <c r="W716" s="24"/>
    </row>
    <row r="717">
      <c r="A717" s="11">
        <v>45642.0</v>
      </c>
      <c r="B717" s="17">
        <v>-1.0</v>
      </c>
      <c r="C717" s="17">
        <v>10.0</v>
      </c>
      <c r="D717" s="17" t="s">
        <v>67</v>
      </c>
      <c r="E717" s="17">
        <v>6.0</v>
      </c>
      <c r="F717" s="18"/>
      <c r="G717" s="25"/>
      <c r="H717" s="25"/>
      <c r="I717" s="25"/>
      <c r="J717" s="25"/>
      <c r="K717" s="25"/>
      <c r="L717" s="17">
        <v>25.0</v>
      </c>
      <c r="M717" s="17">
        <v>25.0</v>
      </c>
      <c r="N717" s="30"/>
      <c r="O717" s="30"/>
      <c r="P717" s="30"/>
      <c r="Q717" s="30"/>
      <c r="R717" s="30"/>
      <c r="S717" s="31">
        <v>4.06</v>
      </c>
      <c r="T717" s="32" t="s">
        <v>83</v>
      </c>
      <c r="U717" s="32"/>
      <c r="V717" s="36">
        <v>75000.0</v>
      </c>
      <c r="W717" s="36"/>
    </row>
    <row r="718">
      <c r="A718" s="11">
        <v>45643.0</v>
      </c>
      <c r="B718" s="17">
        <v>-2.0</v>
      </c>
      <c r="C718" s="17">
        <v>8.0</v>
      </c>
      <c r="D718" s="17" t="s">
        <v>67</v>
      </c>
      <c r="E718" s="17">
        <v>6.0</v>
      </c>
      <c r="F718" s="18"/>
      <c r="G718" s="25"/>
      <c r="H718" s="25"/>
      <c r="I718" s="25"/>
      <c r="J718" s="25"/>
      <c r="K718" s="25"/>
      <c r="L718" s="17">
        <v>25.0</v>
      </c>
      <c r="M718" s="17">
        <v>30.0</v>
      </c>
      <c r="N718" s="30"/>
      <c r="O718" s="30"/>
      <c r="P718" s="30"/>
      <c r="Q718" s="30"/>
      <c r="R718" s="30"/>
      <c r="S718" s="31"/>
      <c r="T718" s="32"/>
      <c r="U718" s="32"/>
      <c r="V718" s="36">
        <v>150000.0</v>
      </c>
      <c r="W718" s="36"/>
    </row>
    <row r="719">
      <c r="A719" s="11">
        <v>45644.0</v>
      </c>
      <c r="B719" s="17">
        <v>-1.0</v>
      </c>
      <c r="C719" s="17">
        <v>7.0</v>
      </c>
      <c r="D719" s="17" t="s">
        <v>67</v>
      </c>
      <c r="E719" s="17">
        <v>6.0</v>
      </c>
      <c r="F719" s="18"/>
      <c r="G719" s="25"/>
      <c r="H719" s="25"/>
      <c r="I719" s="25"/>
      <c r="J719" s="25"/>
      <c r="K719" s="25"/>
      <c r="L719" s="17">
        <v>25.0</v>
      </c>
      <c r="M719" s="17">
        <v>29.0</v>
      </c>
      <c r="N719" s="27"/>
      <c r="O719" s="27"/>
      <c r="P719" s="27"/>
      <c r="Q719" s="27"/>
      <c r="R719" s="27"/>
      <c r="S719" s="28"/>
      <c r="T719" s="29"/>
      <c r="U719" s="29"/>
      <c r="V719" s="24"/>
      <c r="W719" s="24"/>
    </row>
    <row r="720">
      <c r="A720" s="11">
        <v>45645.0</v>
      </c>
      <c r="B720" s="17">
        <v>6.0</v>
      </c>
      <c r="C720" s="17">
        <v>11.0</v>
      </c>
      <c r="D720" s="17" t="s">
        <v>62</v>
      </c>
      <c r="E720" s="17">
        <v>8.0</v>
      </c>
      <c r="F720" s="18"/>
      <c r="G720" s="25"/>
      <c r="H720" s="25"/>
      <c r="I720" s="25"/>
      <c r="J720" s="25"/>
      <c r="K720" s="25"/>
      <c r="L720" s="17">
        <v>25.0</v>
      </c>
      <c r="M720" s="17">
        <v>29.0</v>
      </c>
      <c r="N720" s="27"/>
      <c r="O720" s="27"/>
      <c r="P720" s="27"/>
      <c r="Q720" s="27"/>
      <c r="R720" s="27"/>
      <c r="S720" s="28"/>
      <c r="T720" s="29"/>
      <c r="U720" s="29"/>
      <c r="V720" s="36">
        <v>40000.0</v>
      </c>
      <c r="W720" s="36"/>
    </row>
    <row r="721">
      <c r="A721" s="11">
        <v>45646.0</v>
      </c>
      <c r="B721" s="17">
        <v>3.0</v>
      </c>
      <c r="C721" s="17">
        <v>11.0</v>
      </c>
      <c r="D721" s="17" t="s">
        <v>84</v>
      </c>
      <c r="E721" s="25"/>
      <c r="F721" s="26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8"/>
      <c r="T721" s="29"/>
      <c r="U721" s="29"/>
      <c r="V721" s="37"/>
      <c r="W721" s="37"/>
    </row>
    <row r="722">
      <c r="A722" s="11">
        <v>45647.0</v>
      </c>
      <c r="B722" s="25"/>
      <c r="C722" s="25"/>
      <c r="D722" s="17" t="s">
        <v>85</v>
      </c>
      <c r="E722" s="17">
        <v>7.0</v>
      </c>
      <c r="F722" s="18"/>
      <c r="G722" s="25"/>
      <c r="H722" s="25"/>
      <c r="I722" s="25"/>
      <c r="J722" s="25"/>
      <c r="K722" s="25"/>
      <c r="L722" s="25"/>
      <c r="M722" s="25"/>
      <c r="N722" s="27"/>
      <c r="O722" s="27"/>
      <c r="P722" s="27"/>
      <c r="Q722" s="27"/>
      <c r="R722" s="27"/>
      <c r="S722" s="28"/>
      <c r="T722" s="29"/>
      <c r="U722" s="29"/>
      <c r="V722" s="24"/>
      <c r="W722" s="36"/>
    </row>
    <row r="723">
      <c r="A723" s="11">
        <v>45648.0</v>
      </c>
      <c r="B723" s="25"/>
      <c r="C723" s="25"/>
      <c r="D723" s="25"/>
      <c r="E723" s="25"/>
      <c r="F723" s="26"/>
      <c r="G723" s="25"/>
      <c r="H723" s="25"/>
      <c r="I723" s="25"/>
      <c r="J723" s="25"/>
      <c r="K723" s="25"/>
      <c r="L723" s="25"/>
      <c r="M723" s="25"/>
      <c r="N723" s="27"/>
      <c r="O723" s="27"/>
      <c r="P723" s="27"/>
      <c r="Q723" s="27"/>
      <c r="R723" s="27"/>
      <c r="S723" s="28"/>
      <c r="T723" s="29"/>
      <c r="U723" s="29"/>
      <c r="V723" s="24"/>
      <c r="W723" s="24"/>
    </row>
    <row r="724">
      <c r="A724" s="11">
        <v>45649.0</v>
      </c>
      <c r="B724" s="17">
        <v>1.0</v>
      </c>
      <c r="C724" s="17">
        <v>8.0</v>
      </c>
      <c r="D724" s="17" t="s">
        <v>80</v>
      </c>
      <c r="E724" s="17">
        <v>6.0</v>
      </c>
      <c r="F724" s="18"/>
      <c r="G724" s="25"/>
      <c r="H724" s="25"/>
      <c r="I724" s="25"/>
      <c r="J724" s="25"/>
      <c r="K724" s="25"/>
      <c r="L724" s="17">
        <v>25.0</v>
      </c>
      <c r="M724" s="17">
        <v>30.0</v>
      </c>
      <c r="N724" s="27"/>
      <c r="O724" s="27"/>
      <c r="P724" s="27"/>
      <c r="Q724" s="27"/>
      <c r="R724" s="27"/>
      <c r="S724" s="28"/>
      <c r="T724" s="29"/>
      <c r="U724" s="29"/>
      <c r="V724" s="36">
        <v>60000.0</v>
      </c>
      <c r="W724" s="36"/>
    </row>
    <row r="725">
      <c r="A725" s="11">
        <v>45650.0</v>
      </c>
      <c r="B725" s="17">
        <v>-2.0</v>
      </c>
      <c r="C725" s="17">
        <v>10.0</v>
      </c>
      <c r="D725" s="17" t="s">
        <v>86</v>
      </c>
      <c r="E725" s="17">
        <v>6.0</v>
      </c>
      <c r="F725" s="18"/>
      <c r="G725" s="25"/>
      <c r="H725" s="25"/>
      <c r="I725" s="25"/>
      <c r="J725" s="25"/>
      <c r="K725" s="25"/>
      <c r="L725" s="17">
        <v>26.0</v>
      </c>
      <c r="M725" s="17">
        <v>29.0</v>
      </c>
      <c r="N725" s="27"/>
      <c r="O725" s="27"/>
      <c r="P725" s="27"/>
      <c r="Q725" s="27"/>
      <c r="R725" s="27"/>
      <c r="S725" s="28"/>
      <c r="T725" s="29"/>
      <c r="U725" s="29"/>
      <c r="V725" s="24"/>
      <c r="W725" s="24"/>
    </row>
    <row r="726">
      <c r="A726" s="11">
        <v>45651.0</v>
      </c>
      <c r="B726" s="25"/>
      <c r="C726" s="25"/>
      <c r="D726" s="25"/>
      <c r="E726" s="25"/>
      <c r="F726" s="26"/>
      <c r="G726" s="25"/>
      <c r="H726" s="25"/>
      <c r="I726" s="25"/>
      <c r="J726" s="25"/>
      <c r="K726" s="25"/>
      <c r="L726" s="25"/>
      <c r="M726" s="25"/>
      <c r="N726" s="27"/>
      <c r="O726" s="27"/>
      <c r="P726" s="27"/>
      <c r="Q726" s="27"/>
      <c r="R726" s="27"/>
      <c r="S726" s="28"/>
      <c r="T726" s="29"/>
      <c r="U726" s="29"/>
      <c r="V726" s="24"/>
      <c r="W726" s="24"/>
    </row>
    <row r="727">
      <c r="A727" s="11">
        <v>45652.0</v>
      </c>
      <c r="B727" s="17">
        <v>-2.0</v>
      </c>
      <c r="C727" s="17">
        <v>9.0</v>
      </c>
      <c r="D727" s="17" t="s">
        <v>64</v>
      </c>
      <c r="E727" s="17">
        <v>6.0</v>
      </c>
      <c r="F727" s="18"/>
      <c r="G727" s="17"/>
      <c r="H727" s="17">
        <v>8.51</v>
      </c>
      <c r="I727" s="17">
        <v>0.01</v>
      </c>
      <c r="J727" s="25"/>
      <c r="K727" s="25"/>
      <c r="L727" s="17">
        <v>26.0</v>
      </c>
      <c r="M727" s="17">
        <v>29.0</v>
      </c>
      <c r="N727" s="27"/>
      <c r="O727" s="27"/>
      <c r="P727" s="27"/>
      <c r="Q727" s="27"/>
      <c r="R727" s="27"/>
      <c r="S727" s="28"/>
      <c r="T727" s="29"/>
      <c r="U727" s="29"/>
      <c r="V727" s="24"/>
      <c r="W727" s="24"/>
    </row>
    <row r="728">
      <c r="A728" s="11">
        <v>45653.0</v>
      </c>
      <c r="B728" s="17">
        <v>-1.0</v>
      </c>
      <c r="C728" s="17">
        <v>9.0</v>
      </c>
      <c r="D728" s="17" t="s">
        <v>64</v>
      </c>
      <c r="E728" s="17">
        <v>4.0</v>
      </c>
      <c r="F728" s="18"/>
      <c r="G728" s="17"/>
      <c r="H728" s="17">
        <v>8.52</v>
      </c>
      <c r="I728" s="17">
        <v>0.01</v>
      </c>
      <c r="J728" s="25"/>
      <c r="K728" s="25"/>
      <c r="L728" s="17">
        <v>26.0</v>
      </c>
      <c r="M728" s="17">
        <v>28.0</v>
      </c>
      <c r="N728" s="27"/>
      <c r="O728" s="27"/>
      <c r="P728" s="27"/>
      <c r="Q728" s="27"/>
      <c r="R728" s="27"/>
      <c r="S728" s="28"/>
      <c r="T728" s="29"/>
      <c r="U728" s="29"/>
      <c r="V728" s="24"/>
      <c r="W728" s="24"/>
    </row>
    <row r="729">
      <c r="A729" s="11">
        <v>45654.0</v>
      </c>
      <c r="B729" s="17">
        <v>-1.0</v>
      </c>
      <c r="C729" s="17">
        <v>10.0</v>
      </c>
      <c r="D729" s="17" t="s">
        <v>64</v>
      </c>
      <c r="E729" s="17">
        <v>5.1</v>
      </c>
      <c r="F729" s="18"/>
      <c r="G729" s="17"/>
      <c r="H729" s="17">
        <v>8.59</v>
      </c>
      <c r="I729" s="17">
        <v>0.01</v>
      </c>
      <c r="J729" s="25"/>
      <c r="K729" s="25"/>
      <c r="L729" s="25"/>
      <c r="M729" s="25"/>
      <c r="N729" s="27"/>
      <c r="O729" s="27"/>
      <c r="P729" s="27"/>
      <c r="Q729" s="27"/>
      <c r="R729" s="27"/>
      <c r="S729" s="28"/>
      <c r="T729" s="29"/>
      <c r="U729" s="29"/>
      <c r="V729" s="24"/>
      <c r="W729" s="24"/>
    </row>
    <row r="730">
      <c r="A730" s="11">
        <v>45655.0</v>
      </c>
      <c r="B730" s="17">
        <v>-1.0</v>
      </c>
      <c r="C730" s="17">
        <v>11.0</v>
      </c>
      <c r="D730" s="17" t="s">
        <v>64</v>
      </c>
      <c r="E730" s="17">
        <v>4.6</v>
      </c>
      <c r="F730" s="18"/>
      <c r="G730" s="17"/>
      <c r="H730" s="17">
        <v>8.65</v>
      </c>
      <c r="I730" s="17">
        <v>0.001</v>
      </c>
      <c r="J730" s="25"/>
      <c r="K730" s="25"/>
      <c r="L730" s="25"/>
      <c r="M730" s="25"/>
      <c r="N730" s="27"/>
      <c r="O730" s="27"/>
      <c r="P730" s="27"/>
      <c r="Q730" s="27"/>
      <c r="R730" s="27"/>
      <c r="S730" s="28"/>
      <c r="T730" s="29"/>
      <c r="U730" s="29"/>
      <c r="V730" s="24"/>
      <c r="W730" s="24"/>
    </row>
    <row r="731">
      <c r="A731" s="11">
        <v>45656.0</v>
      </c>
      <c r="B731" s="17">
        <v>-1.0</v>
      </c>
      <c r="C731" s="17">
        <v>10.0</v>
      </c>
      <c r="D731" s="17" t="s">
        <v>64</v>
      </c>
      <c r="E731" s="17">
        <v>4.6</v>
      </c>
      <c r="F731" s="18"/>
      <c r="G731" s="17"/>
      <c r="H731" s="17">
        <v>8.61</v>
      </c>
      <c r="I731" s="17">
        <v>0.001</v>
      </c>
      <c r="J731" s="17">
        <v>12.6</v>
      </c>
      <c r="K731" s="17">
        <v>17.83</v>
      </c>
      <c r="L731" s="17">
        <v>26.0</v>
      </c>
      <c r="M731" s="17">
        <v>25.0</v>
      </c>
      <c r="N731" s="27"/>
      <c r="O731" s="27"/>
      <c r="P731" s="27"/>
      <c r="Q731" s="27"/>
      <c r="R731" s="27"/>
      <c r="S731" s="28"/>
      <c r="T731" s="29"/>
      <c r="U731" s="29"/>
      <c r="V731" s="24"/>
      <c r="W731" s="24"/>
    </row>
    <row r="732">
      <c r="A732" s="11">
        <v>45657.0</v>
      </c>
      <c r="B732" s="17">
        <v>-2.0</v>
      </c>
      <c r="C732" s="17">
        <v>7.0</v>
      </c>
      <c r="D732" s="17" t="s">
        <v>67</v>
      </c>
      <c r="E732" s="17">
        <v>6.6</v>
      </c>
      <c r="F732" s="18"/>
      <c r="G732" s="17"/>
      <c r="H732" s="17">
        <v>8.76</v>
      </c>
      <c r="I732" s="17">
        <v>0.001</v>
      </c>
      <c r="J732" s="17">
        <v>12.2</v>
      </c>
      <c r="K732" s="17">
        <v>12.97</v>
      </c>
      <c r="L732" s="17">
        <v>26.0</v>
      </c>
      <c r="M732" s="17">
        <v>27.0</v>
      </c>
      <c r="N732" s="27"/>
      <c r="O732" s="27"/>
      <c r="P732" s="27"/>
      <c r="Q732" s="27"/>
      <c r="R732" s="27"/>
      <c r="S732" s="28"/>
      <c r="T732" s="29"/>
      <c r="U732" s="29"/>
      <c r="V732" s="24"/>
      <c r="W732" s="24"/>
    </row>
    <row r="733">
      <c r="A733" s="11">
        <v>45658.0</v>
      </c>
      <c r="B733" s="17">
        <v>-3.0</v>
      </c>
      <c r="C733" s="17">
        <v>6.0</v>
      </c>
      <c r="D733" s="17" t="s">
        <v>67</v>
      </c>
      <c r="E733" s="17">
        <v>3.8</v>
      </c>
      <c r="F733" s="18"/>
      <c r="G733" s="17"/>
      <c r="H733" s="17">
        <v>8.6</v>
      </c>
      <c r="I733" s="17">
        <v>0.002</v>
      </c>
      <c r="J733" s="17">
        <v>13.0</v>
      </c>
      <c r="K733" s="17">
        <v>22.38</v>
      </c>
      <c r="L733" s="25"/>
      <c r="M733" s="25"/>
      <c r="N733" s="27"/>
      <c r="O733" s="27"/>
      <c r="P733" s="27"/>
      <c r="Q733" s="27"/>
      <c r="R733" s="27"/>
      <c r="S733" s="28"/>
      <c r="T733" s="29"/>
      <c r="U733" s="29"/>
      <c r="V733" s="24"/>
      <c r="W733" s="24"/>
    </row>
    <row r="734">
      <c r="A734" s="11">
        <v>45659.0</v>
      </c>
      <c r="B734" s="17">
        <v>0.0</v>
      </c>
      <c r="C734" s="17">
        <v>9.0</v>
      </c>
      <c r="D734" s="17" t="s">
        <v>62</v>
      </c>
      <c r="E734" s="17">
        <v>5.3</v>
      </c>
      <c r="F734" s="18"/>
      <c r="G734" s="17"/>
      <c r="H734" s="17">
        <v>8.65</v>
      </c>
      <c r="I734" s="17">
        <v>0.001</v>
      </c>
      <c r="J734" s="17">
        <v>12.6</v>
      </c>
      <c r="K734" s="17">
        <v>18.06</v>
      </c>
      <c r="L734" s="17">
        <v>28.0</v>
      </c>
      <c r="M734" s="17">
        <v>30.0</v>
      </c>
      <c r="N734" s="27"/>
      <c r="O734" s="27"/>
      <c r="P734" s="27"/>
      <c r="Q734" s="27"/>
      <c r="R734" s="27"/>
      <c r="S734" s="28"/>
      <c r="T734" s="29"/>
      <c r="U734" s="29"/>
      <c r="V734" s="36">
        <v>55000.0</v>
      </c>
      <c r="W734" s="36"/>
    </row>
    <row r="735">
      <c r="A735" s="11">
        <v>45660.0</v>
      </c>
      <c r="B735" s="17">
        <v>4.0</v>
      </c>
      <c r="C735" s="17">
        <v>10.0</v>
      </c>
      <c r="D735" s="17" t="s">
        <v>79</v>
      </c>
      <c r="E735" s="17">
        <v>7.8</v>
      </c>
      <c r="F735" s="18"/>
      <c r="G735" s="17"/>
      <c r="H735" s="17">
        <v>8.81</v>
      </c>
      <c r="I735" s="17">
        <v>0.001</v>
      </c>
      <c r="J735" s="17">
        <v>12.2</v>
      </c>
      <c r="K735" s="17">
        <v>11.77</v>
      </c>
      <c r="L735" s="17">
        <v>28.0</v>
      </c>
      <c r="M735" s="25"/>
      <c r="N735" s="27"/>
      <c r="O735" s="27"/>
      <c r="P735" s="27"/>
      <c r="Q735" s="27"/>
      <c r="R735" s="27"/>
      <c r="S735" s="28"/>
      <c r="T735" s="29"/>
      <c r="U735" s="29"/>
      <c r="V735" s="24"/>
      <c r="W735" s="24"/>
    </row>
    <row r="736">
      <c r="A736" s="11">
        <v>45661.0</v>
      </c>
      <c r="B736" s="17">
        <v>-1.0</v>
      </c>
      <c r="C736" s="17">
        <v>9.0</v>
      </c>
      <c r="D736" s="17" t="s">
        <v>73</v>
      </c>
      <c r="E736" s="17">
        <v>6.4</v>
      </c>
      <c r="F736" s="18"/>
      <c r="G736" s="17"/>
      <c r="H736" s="17">
        <v>8.6</v>
      </c>
      <c r="I736" s="17">
        <v>0.002</v>
      </c>
      <c r="J736" s="17">
        <v>12.2</v>
      </c>
      <c r="K736" s="17">
        <v>15.32</v>
      </c>
      <c r="L736" s="25"/>
      <c r="M736" s="25"/>
      <c r="N736" s="27"/>
      <c r="O736" s="27"/>
      <c r="P736" s="27"/>
      <c r="Q736" s="27"/>
      <c r="R736" s="27"/>
      <c r="S736" s="28"/>
      <c r="T736" s="29"/>
      <c r="U736" s="29"/>
      <c r="V736" s="24"/>
      <c r="W736" s="24"/>
    </row>
    <row r="737">
      <c r="A737" s="11">
        <v>45662.0</v>
      </c>
      <c r="B737" s="25"/>
      <c r="C737" s="25"/>
      <c r="D737" s="25"/>
      <c r="E737" s="25"/>
      <c r="F737" s="26"/>
      <c r="G737" s="25"/>
      <c r="H737" s="25"/>
      <c r="I737" s="25"/>
      <c r="J737" s="25"/>
      <c r="K737" s="25"/>
      <c r="L737" s="25"/>
      <c r="M737" s="25"/>
      <c r="N737" s="27"/>
      <c r="O737" s="27"/>
      <c r="P737" s="27"/>
      <c r="Q737" s="27"/>
      <c r="R737" s="27"/>
      <c r="S737" s="28"/>
      <c r="T737" s="29"/>
      <c r="U737" s="29"/>
      <c r="V737" s="24"/>
      <c r="W737" s="24"/>
    </row>
    <row r="738">
      <c r="A738" s="11">
        <v>45663.0</v>
      </c>
      <c r="B738" s="17">
        <v>4.0</v>
      </c>
      <c r="C738" s="17">
        <v>10.0</v>
      </c>
      <c r="D738" s="17" t="s">
        <v>62</v>
      </c>
      <c r="E738" s="17">
        <v>6.4</v>
      </c>
      <c r="F738" s="18"/>
      <c r="G738" s="17"/>
      <c r="H738" s="17">
        <v>8.65</v>
      </c>
      <c r="I738" s="17">
        <v>0.001</v>
      </c>
      <c r="J738" s="17">
        <v>12.2</v>
      </c>
      <c r="K738" s="17">
        <v>16.7</v>
      </c>
      <c r="L738" s="17">
        <v>27.0</v>
      </c>
      <c r="M738" s="17">
        <v>28.0</v>
      </c>
      <c r="N738" s="27"/>
      <c r="O738" s="27"/>
      <c r="P738" s="27"/>
      <c r="Q738" s="27"/>
      <c r="R738" s="27"/>
      <c r="S738" s="28"/>
      <c r="T738" s="29"/>
      <c r="U738" s="29"/>
      <c r="V738" s="36">
        <v>60000.0</v>
      </c>
      <c r="W738" s="36"/>
    </row>
    <row r="739">
      <c r="A739" s="11">
        <v>45664.0</v>
      </c>
      <c r="B739" s="17">
        <v>4.0</v>
      </c>
      <c r="C739" s="17">
        <v>10.0</v>
      </c>
      <c r="D739" s="17" t="s">
        <v>62</v>
      </c>
      <c r="E739" s="17">
        <v>6.6</v>
      </c>
      <c r="F739" s="18"/>
      <c r="G739" s="17"/>
      <c r="H739" s="17">
        <v>8.68</v>
      </c>
      <c r="I739" s="17">
        <v>0.001</v>
      </c>
      <c r="J739" s="17">
        <v>12.2</v>
      </c>
      <c r="K739" s="17">
        <v>15.39</v>
      </c>
      <c r="L739" s="17">
        <v>26.0</v>
      </c>
      <c r="M739" s="17">
        <v>27.0</v>
      </c>
      <c r="N739" s="27"/>
      <c r="O739" s="27"/>
      <c r="P739" s="27"/>
      <c r="Q739" s="27"/>
      <c r="R739" s="27"/>
      <c r="S739" s="28"/>
      <c r="T739" s="29"/>
      <c r="U739" s="29"/>
      <c r="V739" s="24"/>
      <c r="W739" s="24"/>
    </row>
    <row r="740">
      <c r="A740" s="11">
        <v>45665.0</v>
      </c>
      <c r="B740" s="17">
        <v>1.0</v>
      </c>
      <c r="C740" s="17">
        <v>10.0</v>
      </c>
      <c r="D740" s="17" t="s">
        <v>87</v>
      </c>
      <c r="E740" s="17">
        <v>6.9</v>
      </c>
      <c r="F740" s="18"/>
      <c r="G740" s="17"/>
      <c r="H740" s="17">
        <v>8.65</v>
      </c>
      <c r="I740" s="17">
        <v>0.001</v>
      </c>
      <c r="J740" s="17">
        <v>12.1</v>
      </c>
      <c r="K740" s="17">
        <v>16.14</v>
      </c>
      <c r="L740" s="17">
        <v>28.0</v>
      </c>
      <c r="M740" s="17">
        <v>29.0</v>
      </c>
      <c r="N740" s="27"/>
      <c r="O740" s="27"/>
      <c r="P740" s="27"/>
      <c r="Q740" s="27"/>
      <c r="R740" s="27"/>
      <c r="S740" s="28"/>
      <c r="T740" s="29"/>
      <c r="U740" s="29"/>
      <c r="V740" s="24"/>
      <c r="W740" s="24"/>
    </row>
    <row r="741">
      <c r="A741" s="11">
        <v>45666.0</v>
      </c>
      <c r="B741" s="17">
        <v>6.0</v>
      </c>
      <c r="C741" s="17">
        <v>15.0</v>
      </c>
      <c r="D741" s="17" t="s">
        <v>80</v>
      </c>
      <c r="E741" s="17">
        <v>6.3</v>
      </c>
      <c r="F741" s="18"/>
      <c r="G741" s="17"/>
      <c r="H741" s="17">
        <v>8.65</v>
      </c>
      <c r="I741" s="17">
        <v>0.001</v>
      </c>
      <c r="J741" s="17">
        <v>12.3</v>
      </c>
      <c r="K741" s="17">
        <v>16.85</v>
      </c>
      <c r="L741" s="17">
        <v>25.0</v>
      </c>
      <c r="M741" s="17">
        <v>26.0</v>
      </c>
      <c r="N741" s="27"/>
      <c r="O741" s="27"/>
      <c r="P741" s="27"/>
      <c r="Q741" s="27"/>
      <c r="R741" s="27"/>
      <c r="S741" s="28"/>
      <c r="T741" s="29"/>
      <c r="U741" s="29"/>
      <c r="V741" s="24"/>
      <c r="W741" s="24"/>
    </row>
    <row r="742">
      <c r="A742" s="11">
        <v>45667.0</v>
      </c>
      <c r="B742" s="17">
        <v>3.0</v>
      </c>
      <c r="C742" s="17">
        <v>11.0</v>
      </c>
      <c r="D742" s="17" t="s">
        <v>82</v>
      </c>
      <c r="E742" s="17">
        <v>5.5</v>
      </c>
      <c r="F742" s="18"/>
      <c r="G742" s="17"/>
      <c r="H742" s="17">
        <v>8.61</v>
      </c>
      <c r="I742" s="17">
        <v>0.001</v>
      </c>
      <c r="J742" s="17">
        <v>12.5</v>
      </c>
      <c r="K742" s="17">
        <v>19.37</v>
      </c>
      <c r="L742" s="17">
        <v>27.0</v>
      </c>
      <c r="M742" s="17">
        <v>28.0</v>
      </c>
      <c r="N742" s="27"/>
      <c r="O742" s="27"/>
      <c r="P742" s="27"/>
      <c r="Q742" s="27"/>
      <c r="R742" s="27"/>
      <c r="S742" s="28"/>
      <c r="T742" s="29"/>
      <c r="U742" s="29"/>
      <c r="V742" s="36">
        <v>50000.0</v>
      </c>
      <c r="W742" s="36"/>
    </row>
    <row r="743">
      <c r="A743" s="11">
        <v>45668.0</v>
      </c>
      <c r="B743" s="25"/>
      <c r="C743" s="25"/>
      <c r="D743" s="25"/>
      <c r="E743" s="25"/>
      <c r="F743" s="26"/>
      <c r="G743" s="25"/>
      <c r="H743" s="25"/>
      <c r="I743" s="25"/>
      <c r="J743" s="25"/>
      <c r="K743" s="25"/>
      <c r="L743" s="25"/>
      <c r="M743" s="25"/>
      <c r="N743" s="27"/>
      <c r="O743" s="27"/>
      <c r="P743" s="27"/>
      <c r="Q743" s="27"/>
      <c r="R743" s="27"/>
      <c r="S743" s="28"/>
      <c r="T743" s="29"/>
      <c r="U743" s="29"/>
      <c r="V743" s="24"/>
      <c r="W743" s="24"/>
    </row>
    <row r="744">
      <c r="A744" s="11">
        <v>45669.0</v>
      </c>
      <c r="B744" s="25"/>
      <c r="C744" s="25"/>
      <c r="D744" s="25"/>
      <c r="E744" s="25"/>
      <c r="F744" s="26"/>
      <c r="G744" s="25"/>
      <c r="H744" s="25"/>
      <c r="I744" s="25"/>
      <c r="J744" s="25"/>
      <c r="K744" s="25"/>
      <c r="L744" s="25"/>
      <c r="M744" s="25"/>
      <c r="N744" s="27"/>
      <c r="O744" s="27"/>
      <c r="P744" s="27"/>
      <c r="Q744" s="27"/>
      <c r="R744" s="27"/>
      <c r="S744" s="28"/>
      <c r="T744" s="29"/>
      <c r="U744" s="29"/>
      <c r="V744" s="24"/>
      <c r="W744" s="24"/>
    </row>
    <row r="745">
      <c r="A745" s="11">
        <v>45670.0</v>
      </c>
      <c r="B745" s="17">
        <v>2.0</v>
      </c>
      <c r="C745" s="17">
        <v>6.0</v>
      </c>
      <c r="D745" s="17" t="s">
        <v>64</v>
      </c>
      <c r="E745" s="17">
        <v>4.1</v>
      </c>
      <c r="F745" s="18"/>
      <c r="G745" s="17"/>
      <c r="H745" s="17">
        <v>8.64</v>
      </c>
      <c r="I745" s="17">
        <v>0.002</v>
      </c>
      <c r="J745" s="17">
        <v>12.9</v>
      </c>
      <c r="K745" s="17">
        <v>19.97</v>
      </c>
      <c r="L745" s="17">
        <v>27.0</v>
      </c>
      <c r="M745" s="17">
        <v>28.0</v>
      </c>
      <c r="N745" s="27"/>
      <c r="O745" s="27"/>
      <c r="P745" s="27"/>
      <c r="Q745" s="27"/>
      <c r="R745" s="27"/>
      <c r="S745" s="28"/>
      <c r="T745" s="29"/>
      <c r="U745" s="29"/>
      <c r="V745" s="36">
        <v>110000.0</v>
      </c>
      <c r="W745" s="36"/>
    </row>
    <row r="746">
      <c r="A746" s="11">
        <v>45671.0</v>
      </c>
      <c r="B746" s="17">
        <v>-1.0</v>
      </c>
      <c r="C746" s="17">
        <v>7.0</v>
      </c>
      <c r="D746" s="17" t="s">
        <v>64</v>
      </c>
      <c r="E746" s="17">
        <v>5.4</v>
      </c>
      <c r="F746" s="18"/>
      <c r="G746" s="17"/>
      <c r="H746" s="17">
        <v>8.54</v>
      </c>
      <c r="I746" s="17">
        <v>0.001</v>
      </c>
      <c r="J746" s="17">
        <v>12.5</v>
      </c>
      <c r="K746" s="17">
        <v>22.78</v>
      </c>
      <c r="L746" s="17">
        <v>27.0</v>
      </c>
      <c r="M746" s="17">
        <v>29.0</v>
      </c>
      <c r="N746" s="27"/>
      <c r="O746" s="27"/>
      <c r="P746" s="27"/>
      <c r="Q746" s="27"/>
      <c r="R746" s="27"/>
      <c r="S746" s="28"/>
      <c r="T746" s="29"/>
      <c r="U746" s="29"/>
      <c r="V746" s="24"/>
      <c r="W746" s="24"/>
    </row>
    <row r="747">
      <c r="A747" s="11">
        <v>45672.0</v>
      </c>
      <c r="B747" s="17">
        <v>-1.0</v>
      </c>
      <c r="C747" s="17">
        <v>7.0</v>
      </c>
      <c r="D747" s="17" t="s">
        <v>73</v>
      </c>
      <c r="E747" s="17">
        <v>4.4</v>
      </c>
      <c r="F747" s="18"/>
      <c r="G747" s="17"/>
      <c r="H747" s="17">
        <v>8.59</v>
      </c>
      <c r="I747" s="17">
        <v>0.003</v>
      </c>
      <c r="J747" s="17">
        <v>12.8</v>
      </c>
      <c r="K747" s="17">
        <v>21.9</v>
      </c>
      <c r="L747" s="17">
        <v>27.0</v>
      </c>
      <c r="M747" s="17">
        <v>29.0</v>
      </c>
      <c r="N747" s="27"/>
      <c r="O747" s="27"/>
      <c r="P747" s="27"/>
      <c r="Q747" s="27"/>
      <c r="R747" s="27"/>
      <c r="S747" s="28"/>
      <c r="T747" s="29"/>
      <c r="U747" s="29"/>
      <c r="V747" s="24"/>
      <c r="W747" s="24"/>
    </row>
    <row r="748">
      <c r="A748" s="11">
        <v>45673.0</v>
      </c>
      <c r="B748" s="17">
        <v>4.0</v>
      </c>
      <c r="C748" s="17">
        <v>10.0</v>
      </c>
      <c r="D748" s="17" t="s">
        <v>73</v>
      </c>
      <c r="E748" s="17">
        <v>4.1</v>
      </c>
      <c r="F748" s="18"/>
      <c r="G748" s="17"/>
      <c r="H748" s="17">
        <v>8.6</v>
      </c>
      <c r="I748" s="17">
        <v>0.002</v>
      </c>
      <c r="J748" s="17">
        <v>12.9</v>
      </c>
      <c r="K748" s="17">
        <v>21.8</v>
      </c>
      <c r="L748" s="17">
        <v>28.0</v>
      </c>
      <c r="M748" s="25"/>
      <c r="N748" s="27"/>
      <c r="O748" s="27"/>
      <c r="P748" s="27"/>
      <c r="Q748" s="27"/>
      <c r="R748" s="27"/>
      <c r="S748" s="28"/>
      <c r="T748" s="29"/>
      <c r="U748" s="29"/>
      <c r="V748" s="24"/>
      <c r="W748" s="24"/>
    </row>
    <row r="749">
      <c r="A749" s="11">
        <v>45674.0</v>
      </c>
      <c r="B749" s="17">
        <v>1.0</v>
      </c>
      <c r="C749" s="17">
        <v>7.0</v>
      </c>
      <c r="D749" s="17" t="s">
        <v>64</v>
      </c>
      <c r="E749" s="17">
        <v>5.4</v>
      </c>
      <c r="F749" s="18"/>
      <c r="G749" s="17"/>
      <c r="H749" s="17">
        <v>8.67</v>
      </c>
      <c r="I749" s="17">
        <v>0.003</v>
      </c>
      <c r="J749" s="17">
        <v>12.5</v>
      </c>
      <c r="K749" s="17">
        <v>19.12</v>
      </c>
      <c r="L749" s="17">
        <v>26.0</v>
      </c>
      <c r="M749" s="17">
        <v>28.0</v>
      </c>
      <c r="N749" s="27"/>
      <c r="O749" s="27"/>
      <c r="P749" s="27"/>
      <c r="Q749" s="27"/>
      <c r="R749" s="27"/>
      <c r="S749" s="28"/>
      <c r="T749" s="29"/>
      <c r="U749" s="29"/>
      <c r="V749" s="24"/>
      <c r="W749" s="24"/>
    </row>
    <row r="750">
      <c r="A750" s="11">
        <v>45675.0</v>
      </c>
      <c r="B750" s="25"/>
      <c r="C750" s="25"/>
      <c r="D750" s="25"/>
      <c r="E750" s="25"/>
      <c r="F750" s="26"/>
      <c r="G750" s="25"/>
      <c r="H750" s="25"/>
      <c r="I750" s="25"/>
      <c r="J750" s="25"/>
      <c r="K750" s="25"/>
      <c r="L750" s="25"/>
      <c r="M750" s="25"/>
      <c r="N750" s="27"/>
      <c r="O750" s="27"/>
      <c r="P750" s="27"/>
      <c r="Q750" s="27"/>
      <c r="R750" s="27"/>
      <c r="S750" s="28"/>
      <c r="T750" s="29"/>
      <c r="U750" s="29"/>
      <c r="V750" s="24"/>
      <c r="W750" s="24"/>
    </row>
    <row r="751">
      <c r="A751" s="11">
        <v>45676.0</v>
      </c>
      <c r="B751" s="17">
        <v>5.0</v>
      </c>
      <c r="C751" s="17">
        <v>8.0</v>
      </c>
      <c r="D751" s="17" t="s">
        <v>62</v>
      </c>
      <c r="E751" s="17">
        <v>5.6</v>
      </c>
      <c r="F751" s="18"/>
      <c r="G751" s="17"/>
      <c r="H751" s="17">
        <v>8.62</v>
      </c>
      <c r="I751" s="17">
        <v>0.001</v>
      </c>
      <c r="J751" s="17">
        <v>12.5</v>
      </c>
      <c r="K751" s="17">
        <v>18.78</v>
      </c>
      <c r="L751" s="25"/>
      <c r="M751" s="25"/>
      <c r="N751" s="27"/>
      <c r="O751" s="27"/>
      <c r="P751" s="27"/>
      <c r="Q751" s="27"/>
      <c r="R751" s="27"/>
      <c r="S751" s="28"/>
      <c r="T751" s="29"/>
      <c r="U751" s="29"/>
      <c r="V751" s="24"/>
      <c r="W751" s="24"/>
    </row>
    <row r="752">
      <c r="A752" s="11">
        <v>45677.0</v>
      </c>
      <c r="B752" s="25"/>
      <c r="C752" s="25"/>
      <c r="D752" s="25"/>
      <c r="E752" s="25"/>
      <c r="F752" s="26"/>
      <c r="G752" s="25"/>
      <c r="H752" s="25"/>
      <c r="I752" s="25"/>
      <c r="J752" s="25"/>
      <c r="K752" s="25"/>
      <c r="L752" s="25"/>
      <c r="M752" s="25"/>
      <c r="N752" s="27"/>
      <c r="O752" s="27"/>
      <c r="P752" s="27"/>
      <c r="Q752" s="27"/>
      <c r="R752" s="27"/>
      <c r="S752" s="31">
        <v>5.1</v>
      </c>
      <c r="T752" s="32"/>
      <c r="U752" s="32"/>
      <c r="V752" s="24"/>
      <c r="W752" s="24"/>
    </row>
    <row r="753">
      <c r="A753" s="11">
        <v>45678.0</v>
      </c>
      <c r="B753" s="17">
        <v>3.0</v>
      </c>
      <c r="C753" s="17">
        <v>11.0</v>
      </c>
      <c r="D753" s="17" t="s">
        <v>62</v>
      </c>
      <c r="E753" s="17">
        <v>6.1</v>
      </c>
      <c r="F753" s="18"/>
      <c r="G753" s="17"/>
      <c r="H753" s="17">
        <v>8.64</v>
      </c>
      <c r="I753" s="17">
        <v>0.002</v>
      </c>
      <c r="J753" s="17">
        <v>12.3</v>
      </c>
      <c r="K753" s="17">
        <v>17.37</v>
      </c>
      <c r="L753" s="17">
        <v>28.0</v>
      </c>
      <c r="M753" s="17">
        <v>30.0</v>
      </c>
      <c r="N753" s="27"/>
      <c r="O753" s="27"/>
      <c r="P753" s="27"/>
      <c r="Q753" s="27"/>
      <c r="R753" s="27"/>
      <c r="S753" s="28"/>
      <c r="T753" s="29"/>
      <c r="U753" s="29"/>
      <c r="V753" s="24"/>
      <c r="W753" s="24"/>
    </row>
    <row r="754">
      <c r="A754" s="11">
        <v>45679.0</v>
      </c>
      <c r="B754" s="17">
        <v>3.0</v>
      </c>
      <c r="C754" s="17">
        <v>10.0</v>
      </c>
      <c r="D754" s="17" t="s">
        <v>62</v>
      </c>
      <c r="E754" s="17">
        <v>6.1</v>
      </c>
      <c r="F754" s="18"/>
      <c r="G754" s="17"/>
      <c r="H754" s="17">
        <v>8.75</v>
      </c>
      <c r="I754" s="17">
        <v>0.003</v>
      </c>
      <c r="J754" s="17">
        <v>12.3</v>
      </c>
      <c r="K754" s="17">
        <v>17.71</v>
      </c>
      <c r="L754" s="25"/>
      <c r="M754" s="25"/>
      <c r="N754" s="27"/>
      <c r="O754" s="27"/>
      <c r="P754" s="27"/>
      <c r="Q754" s="27"/>
      <c r="R754" s="27"/>
      <c r="S754" s="28"/>
      <c r="T754" s="29"/>
      <c r="U754" s="29"/>
      <c r="V754" s="24"/>
      <c r="W754" s="24"/>
    </row>
    <row r="755">
      <c r="A755" s="11">
        <v>45680.0</v>
      </c>
      <c r="B755" s="17">
        <v>6.0</v>
      </c>
      <c r="C755" s="17">
        <v>10.0</v>
      </c>
      <c r="D755" s="17" t="s">
        <v>67</v>
      </c>
      <c r="E755" s="17">
        <v>6.8</v>
      </c>
      <c r="F755" s="18"/>
      <c r="G755" s="17"/>
      <c r="H755" s="17">
        <v>8.71</v>
      </c>
      <c r="I755" s="17">
        <v>0.001</v>
      </c>
      <c r="J755" s="17">
        <v>12.1</v>
      </c>
      <c r="K755" s="17">
        <v>14.31</v>
      </c>
      <c r="L755" s="17">
        <v>28.0</v>
      </c>
      <c r="M755" s="17">
        <v>28.0</v>
      </c>
      <c r="N755" s="27"/>
      <c r="O755" s="27"/>
      <c r="P755" s="27"/>
      <c r="Q755" s="27"/>
      <c r="R755" s="27"/>
      <c r="S755" s="28"/>
      <c r="T755" s="29"/>
      <c r="U755" s="29"/>
      <c r="V755" s="36">
        <v>120000.0</v>
      </c>
      <c r="W755" s="24"/>
    </row>
    <row r="756">
      <c r="A756" s="11">
        <v>45681.0</v>
      </c>
      <c r="B756" s="17">
        <v>5.0</v>
      </c>
      <c r="C756" s="17">
        <v>10.0</v>
      </c>
      <c r="D756" s="17" t="s">
        <v>62</v>
      </c>
      <c r="E756" s="25"/>
      <c r="F756" s="26"/>
      <c r="G756" s="25"/>
      <c r="H756" s="25"/>
      <c r="I756" s="25"/>
      <c r="J756" s="25"/>
      <c r="K756" s="25"/>
      <c r="L756" s="25"/>
      <c r="M756" s="25"/>
      <c r="N756" s="27"/>
      <c r="O756" s="27"/>
      <c r="P756" s="27"/>
      <c r="Q756" s="27"/>
      <c r="R756" s="27"/>
      <c r="S756" s="28"/>
      <c r="T756" s="29"/>
      <c r="U756" s="29"/>
      <c r="V756" s="24"/>
      <c r="W756" s="24"/>
    </row>
    <row r="757">
      <c r="A757" s="11">
        <v>45682.0</v>
      </c>
      <c r="B757" s="25"/>
      <c r="C757" s="25"/>
      <c r="D757" s="25"/>
      <c r="E757" s="25"/>
      <c r="F757" s="26"/>
      <c r="G757" s="25"/>
      <c r="H757" s="25"/>
      <c r="I757" s="25"/>
      <c r="J757" s="25"/>
      <c r="K757" s="25"/>
      <c r="L757" s="25"/>
      <c r="M757" s="25"/>
      <c r="N757" s="27"/>
      <c r="O757" s="27"/>
      <c r="P757" s="27"/>
      <c r="Q757" s="27"/>
      <c r="R757" s="27"/>
      <c r="S757" s="28"/>
      <c r="T757" s="29"/>
      <c r="U757" s="29"/>
      <c r="V757" s="24"/>
      <c r="W757" s="24"/>
    </row>
    <row r="758">
      <c r="A758" s="11">
        <v>45683.0</v>
      </c>
      <c r="B758" s="25"/>
      <c r="C758" s="25"/>
      <c r="D758" s="25"/>
      <c r="E758" s="25"/>
      <c r="F758" s="26"/>
      <c r="G758" s="25"/>
      <c r="H758" s="25"/>
      <c r="I758" s="25"/>
      <c r="J758" s="25"/>
      <c r="K758" s="25"/>
      <c r="L758" s="25"/>
      <c r="M758" s="25"/>
      <c r="N758" s="27"/>
      <c r="O758" s="27"/>
      <c r="P758" s="27"/>
      <c r="Q758" s="27"/>
      <c r="R758" s="27"/>
      <c r="S758" s="28"/>
      <c r="T758" s="29"/>
      <c r="U758" s="29"/>
      <c r="V758" s="24"/>
      <c r="W758" s="24"/>
    </row>
    <row r="759">
      <c r="A759" s="11">
        <v>45684.0</v>
      </c>
      <c r="B759" s="17">
        <v>4.0</v>
      </c>
      <c r="C759" s="17">
        <v>14.0</v>
      </c>
      <c r="D759" s="17" t="s">
        <v>62</v>
      </c>
      <c r="E759" s="25"/>
      <c r="F759" s="26"/>
      <c r="G759" s="25"/>
      <c r="H759" s="25"/>
      <c r="I759" s="25"/>
      <c r="J759" s="25"/>
      <c r="K759" s="25"/>
      <c r="L759" s="17">
        <v>25.0</v>
      </c>
      <c r="M759" s="17">
        <v>27.0</v>
      </c>
      <c r="N759" s="27"/>
      <c r="O759" s="27"/>
      <c r="P759" s="27"/>
      <c r="Q759" s="27"/>
      <c r="R759" s="27"/>
      <c r="S759" s="28"/>
      <c r="T759" s="29"/>
      <c r="U759" s="29"/>
      <c r="V759" s="36">
        <v>130000.0</v>
      </c>
      <c r="W759" s="36"/>
    </row>
    <row r="760">
      <c r="A760" s="11">
        <v>45685.0</v>
      </c>
      <c r="B760" s="17">
        <v>7.0</v>
      </c>
      <c r="C760" s="17">
        <v>16.0</v>
      </c>
      <c r="D760" s="17" t="s">
        <v>79</v>
      </c>
      <c r="E760" s="25"/>
      <c r="F760" s="26"/>
      <c r="G760" s="25"/>
      <c r="H760" s="25"/>
      <c r="I760" s="25"/>
      <c r="J760" s="25"/>
      <c r="K760" s="25"/>
      <c r="L760" s="17">
        <v>27.0</v>
      </c>
      <c r="M760" s="17">
        <v>26.0</v>
      </c>
      <c r="N760" s="27"/>
      <c r="O760" s="27"/>
      <c r="P760" s="27"/>
      <c r="Q760" s="27"/>
      <c r="R760" s="27"/>
      <c r="S760" s="31">
        <v>7.46</v>
      </c>
      <c r="T760" s="32" t="s">
        <v>24</v>
      </c>
      <c r="U760" s="32"/>
      <c r="V760" s="24"/>
      <c r="W760" s="24"/>
    </row>
    <row r="761">
      <c r="A761" s="11">
        <v>45686.0</v>
      </c>
      <c r="B761" s="25"/>
      <c r="C761" s="25"/>
      <c r="D761" s="25"/>
      <c r="E761" s="25"/>
      <c r="F761" s="26"/>
      <c r="G761" s="25"/>
      <c r="H761" s="25"/>
      <c r="I761" s="25"/>
      <c r="J761" s="25"/>
      <c r="K761" s="25"/>
      <c r="L761" s="25"/>
      <c r="M761" s="25"/>
      <c r="N761" s="27"/>
      <c r="O761" s="27"/>
      <c r="P761" s="27"/>
      <c r="Q761" s="27"/>
      <c r="R761" s="27"/>
      <c r="S761" s="28"/>
      <c r="T761" s="29"/>
      <c r="U761" s="29"/>
      <c r="V761" s="24"/>
      <c r="W761" s="24"/>
    </row>
    <row r="762">
      <c r="A762" s="11">
        <v>45687.0</v>
      </c>
      <c r="B762" s="17">
        <v>2.0</v>
      </c>
      <c r="C762" s="17">
        <v>13.0</v>
      </c>
      <c r="D762" s="17" t="s">
        <v>67</v>
      </c>
      <c r="E762" s="17">
        <v>9.0</v>
      </c>
      <c r="F762" s="18"/>
      <c r="G762" s="25"/>
      <c r="H762" s="25"/>
      <c r="I762" s="25"/>
      <c r="J762" s="25"/>
      <c r="K762" s="25"/>
      <c r="L762" s="17">
        <v>26.0</v>
      </c>
      <c r="M762" s="17">
        <v>25.0</v>
      </c>
      <c r="N762" s="27"/>
      <c r="O762" s="27"/>
      <c r="P762" s="27"/>
      <c r="Q762" s="27"/>
      <c r="R762" s="27"/>
      <c r="S762" s="28"/>
      <c r="T762" s="29"/>
      <c r="U762" s="29"/>
      <c r="V762" s="24"/>
      <c r="W762" s="24"/>
    </row>
    <row r="763">
      <c r="A763" s="11">
        <v>45688.0</v>
      </c>
      <c r="B763" s="17">
        <v>3.0</v>
      </c>
      <c r="C763" s="17">
        <v>8.0</v>
      </c>
      <c r="D763" s="17" t="s">
        <v>73</v>
      </c>
      <c r="E763" s="17">
        <v>9.0</v>
      </c>
      <c r="F763" s="18"/>
      <c r="G763" s="25"/>
      <c r="H763" s="25"/>
      <c r="I763" s="25"/>
      <c r="J763" s="25"/>
      <c r="K763" s="25"/>
      <c r="L763" s="17">
        <v>25.0</v>
      </c>
      <c r="M763" s="17">
        <v>25.0</v>
      </c>
      <c r="N763" s="27"/>
      <c r="O763" s="27"/>
      <c r="P763" s="27"/>
      <c r="Q763" s="27"/>
      <c r="R763" s="27"/>
      <c r="S763" s="28"/>
      <c r="T763" s="29"/>
      <c r="U763" s="29"/>
      <c r="V763" s="24"/>
      <c r="W763" s="24"/>
    </row>
    <row r="764">
      <c r="A764" s="11">
        <v>45689.0</v>
      </c>
      <c r="B764" s="25"/>
      <c r="C764" s="25"/>
      <c r="D764" s="25"/>
      <c r="E764" s="25"/>
      <c r="F764" s="26"/>
      <c r="G764" s="25"/>
      <c r="H764" s="25"/>
      <c r="I764" s="25"/>
      <c r="J764" s="25"/>
      <c r="K764" s="25"/>
      <c r="L764" s="25"/>
      <c r="M764" s="25"/>
      <c r="N764" s="27"/>
      <c r="O764" s="27"/>
      <c r="P764" s="27"/>
      <c r="Q764" s="27"/>
      <c r="R764" s="27"/>
      <c r="S764" s="28"/>
      <c r="T764" s="29"/>
      <c r="U764" s="29"/>
      <c r="V764" s="24"/>
      <c r="W764" s="24"/>
    </row>
    <row r="765">
      <c r="A765" s="11">
        <v>45690.0</v>
      </c>
      <c r="B765" s="17">
        <v>5.0</v>
      </c>
      <c r="C765" s="17">
        <v>12.0</v>
      </c>
      <c r="D765" s="17" t="s">
        <v>73</v>
      </c>
      <c r="E765" s="17">
        <v>9.0</v>
      </c>
      <c r="F765" s="18"/>
      <c r="G765" s="17"/>
      <c r="H765" s="17" t="s">
        <v>88</v>
      </c>
      <c r="I765" s="25"/>
      <c r="J765" s="25"/>
      <c r="K765" s="25"/>
      <c r="L765" s="17">
        <v>27.0</v>
      </c>
      <c r="M765" s="25"/>
      <c r="N765" s="27"/>
      <c r="O765" s="27"/>
      <c r="P765" s="27"/>
      <c r="Q765" s="27"/>
      <c r="R765" s="27"/>
      <c r="S765" s="28"/>
      <c r="T765" s="29"/>
      <c r="U765" s="29"/>
      <c r="V765" s="24"/>
      <c r="W765" s="24"/>
    </row>
    <row r="766">
      <c r="A766" s="11">
        <v>45691.0</v>
      </c>
      <c r="B766" s="17">
        <v>4.0</v>
      </c>
      <c r="C766" s="17">
        <v>12.0</v>
      </c>
      <c r="D766" s="17" t="s">
        <v>64</v>
      </c>
      <c r="E766" s="17">
        <v>8.0</v>
      </c>
      <c r="F766" s="18"/>
      <c r="G766" s="17"/>
      <c r="H766" s="17">
        <v>8.73</v>
      </c>
      <c r="I766" s="17">
        <v>0.005</v>
      </c>
      <c r="J766" s="17">
        <v>11.9</v>
      </c>
      <c r="K766" s="25"/>
      <c r="L766" s="17">
        <v>27.0</v>
      </c>
      <c r="M766" s="17">
        <v>25.0</v>
      </c>
      <c r="N766" s="27"/>
      <c r="O766" s="27"/>
      <c r="P766" s="27"/>
      <c r="Q766" s="27"/>
      <c r="R766" s="27"/>
      <c r="S766" s="28"/>
      <c r="T766" s="29"/>
      <c r="U766" s="29"/>
      <c r="V766" s="24"/>
      <c r="W766" s="24"/>
    </row>
    <row r="767">
      <c r="A767" s="11">
        <v>45692.0</v>
      </c>
      <c r="B767" s="17">
        <v>2.0</v>
      </c>
      <c r="C767" s="17">
        <v>11.0</v>
      </c>
      <c r="D767" s="17" t="s">
        <v>64</v>
      </c>
      <c r="E767" s="17">
        <v>7.8</v>
      </c>
      <c r="F767" s="18"/>
      <c r="G767" s="17"/>
      <c r="H767" s="17">
        <v>8.72</v>
      </c>
      <c r="I767" s="17">
        <v>0.031</v>
      </c>
      <c r="J767" s="17">
        <v>11.9</v>
      </c>
      <c r="K767" s="17">
        <v>13.11</v>
      </c>
      <c r="L767" s="17">
        <v>27.0</v>
      </c>
      <c r="M767" s="25"/>
      <c r="N767" s="27"/>
      <c r="O767" s="27"/>
      <c r="P767" s="27"/>
      <c r="Q767" s="27"/>
      <c r="R767" s="27"/>
      <c r="S767" s="28"/>
      <c r="T767" s="29"/>
      <c r="U767" s="29"/>
      <c r="V767" s="24"/>
      <c r="W767" s="24"/>
    </row>
    <row r="768">
      <c r="A768" s="11">
        <v>45693.0</v>
      </c>
      <c r="B768" s="17">
        <v>0.0</v>
      </c>
      <c r="C768" s="17">
        <v>12.0</v>
      </c>
      <c r="D768" s="17" t="s">
        <v>64</v>
      </c>
      <c r="E768" s="17">
        <v>7.6</v>
      </c>
      <c r="F768" s="18"/>
      <c r="G768" s="17"/>
      <c r="H768" s="17">
        <v>8.71</v>
      </c>
      <c r="I768" s="17">
        <v>0.039</v>
      </c>
      <c r="J768" s="17">
        <v>11.9</v>
      </c>
      <c r="K768" s="17">
        <v>13.51</v>
      </c>
      <c r="L768" s="17" t="s">
        <v>89</v>
      </c>
      <c r="M768" s="25"/>
      <c r="N768" s="27"/>
      <c r="O768" s="27"/>
      <c r="P768" s="27"/>
      <c r="Q768" s="27"/>
      <c r="R768" s="27"/>
      <c r="S768" s="28"/>
      <c r="T768" s="29"/>
      <c r="U768" s="29"/>
      <c r="V768" s="24"/>
      <c r="W768" s="24"/>
    </row>
    <row r="769">
      <c r="A769" s="11">
        <v>45694.0</v>
      </c>
      <c r="B769" s="17">
        <v>-3.0</v>
      </c>
      <c r="C769" s="17">
        <v>11.0</v>
      </c>
      <c r="D769" s="17" t="s">
        <v>64</v>
      </c>
      <c r="E769" s="17">
        <v>8.5</v>
      </c>
      <c r="F769" s="18"/>
      <c r="G769" s="17"/>
      <c r="H769" s="17">
        <v>8.74</v>
      </c>
      <c r="I769" s="17">
        <v>0.032</v>
      </c>
      <c r="J769" s="17">
        <v>11.7</v>
      </c>
      <c r="K769" s="17">
        <v>11.95</v>
      </c>
      <c r="L769" s="25"/>
      <c r="M769" s="17">
        <v>24.0</v>
      </c>
      <c r="N769" s="27"/>
      <c r="O769" s="27"/>
      <c r="P769" s="27"/>
      <c r="Q769" s="27"/>
      <c r="R769" s="27"/>
      <c r="S769" s="31">
        <v>22.4</v>
      </c>
      <c r="T769" s="32" t="s">
        <v>39</v>
      </c>
      <c r="U769" s="32"/>
      <c r="V769" s="24"/>
      <c r="W769" s="24"/>
    </row>
    <row r="770">
      <c r="A770" s="11">
        <v>45695.0</v>
      </c>
      <c r="B770" s="17">
        <v>3.0</v>
      </c>
      <c r="C770" s="17">
        <v>9.0</v>
      </c>
      <c r="D770" s="17" t="s">
        <v>64</v>
      </c>
      <c r="E770" s="17">
        <v>8.0</v>
      </c>
      <c r="F770" s="18"/>
      <c r="G770" s="17"/>
      <c r="H770" s="17">
        <v>8.76</v>
      </c>
      <c r="I770" s="17">
        <v>0.039</v>
      </c>
      <c r="J770" s="17">
        <v>11.8</v>
      </c>
      <c r="K770" s="17">
        <v>11.85</v>
      </c>
      <c r="L770" s="25"/>
      <c r="M770" s="25"/>
      <c r="N770" s="27"/>
      <c r="O770" s="27"/>
      <c r="P770" s="27"/>
      <c r="Q770" s="27"/>
      <c r="R770" s="27"/>
      <c r="S770" s="28"/>
      <c r="T770" s="29"/>
      <c r="U770" s="29"/>
      <c r="V770" s="24"/>
      <c r="W770" s="24"/>
    </row>
    <row r="771">
      <c r="A771" s="11">
        <v>45696.0</v>
      </c>
      <c r="B771" s="25"/>
      <c r="C771" s="25"/>
      <c r="D771" s="25"/>
      <c r="E771" s="25"/>
      <c r="F771" s="26"/>
      <c r="G771" s="25"/>
      <c r="H771" s="25"/>
      <c r="I771" s="25"/>
      <c r="J771" s="25"/>
      <c r="K771" s="25"/>
      <c r="L771" s="25"/>
      <c r="M771" s="25"/>
      <c r="N771" s="27"/>
      <c r="O771" s="27"/>
      <c r="P771" s="27"/>
      <c r="Q771" s="27"/>
      <c r="R771" s="27"/>
      <c r="S771" s="28"/>
      <c r="T771" s="29"/>
      <c r="U771" s="29"/>
      <c r="V771" s="24"/>
      <c r="W771" s="24"/>
    </row>
    <row r="772">
      <c r="A772" s="11">
        <v>45697.0</v>
      </c>
      <c r="B772" s="25"/>
      <c r="C772" s="25"/>
      <c r="D772" s="25"/>
      <c r="E772" s="25"/>
      <c r="F772" s="26"/>
      <c r="G772" s="25"/>
      <c r="H772" s="25"/>
      <c r="I772" s="25"/>
      <c r="J772" s="25"/>
      <c r="K772" s="25"/>
      <c r="L772" s="25"/>
      <c r="M772" s="25"/>
      <c r="N772" s="27"/>
      <c r="O772" s="27"/>
      <c r="P772" s="27"/>
      <c r="Q772" s="27"/>
      <c r="R772" s="27"/>
      <c r="S772" s="28"/>
      <c r="T772" s="29"/>
      <c r="U772" s="29"/>
      <c r="V772" s="24"/>
      <c r="W772" s="24"/>
    </row>
    <row r="773">
      <c r="A773" s="11">
        <v>45698.0</v>
      </c>
      <c r="B773" s="17">
        <v>7.0</v>
      </c>
      <c r="C773" s="17">
        <v>10.0</v>
      </c>
      <c r="D773" s="17" t="s">
        <v>67</v>
      </c>
      <c r="E773" s="17">
        <v>8.9</v>
      </c>
      <c r="F773" s="18"/>
      <c r="G773" s="17"/>
      <c r="H773" s="17">
        <v>8.83</v>
      </c>
      <c r="I773" s="17">
        <v>0.011</v>
      </c>
      <c r="J773" s="17">
        <v>11.6</v>
      </c>
      <c r="K773" s="17">
        <v>9.64</v>
      </c>
      <c r="L773" s="17">
        <v>25.0</v>
      </c>
      <c r="M773" s="17">
        <v>25.0</v>
      </c>
      <c r="N773" s="27"/>
      <c r="O773" s="27"/>
      <c r="P773" s="27"/>
      <c r="Q773" s="27"/>
      <c r="R773" s="27"/>
      <c r="S773" s="28"/>
      <c r="T773" s="29"/>
      <c r="U773" s="29"/>
      <c r="V773" s="36">
        <v>170000.0</v>
      </c>
      <c r="W773" s="36"/>
    </row>
    <row r="774">
      <c r="A774" s="11">
        <v>45699.0</v>
      </c>
      <c r="B774" s="17">
        <v>7.0</v>
      </c>
      <c r="C774" s="17">
        <v>10.0</v>
      </c>
      <c r="D774" s="17" t="s">
        <v>62</v>
      </c>
      <c r="E774" s="17">
        <v>8.5</v>
      </c>
      <c r="F774" s="18"/>
      <c r="G774" s="17"/>
      <c r="H774" s="17">
        <v>8.87</v>
      </c>
      <c r="I774" s="17">
        <v>0.015</v>
      </c>
      <c r="J774" s="17">
        <v>11.7</v>
      </c>
      <c r="K774" s="17">
        <v>9.11</v>
      </c>
      <c r="L774" s="17">
        <v>25.0</v>
      </c>
      <c r="M774" s="17">
        <v>20.0</v>
      </c>
      <c r="N774" s="27"/>
      <c r="O774" s="27"/>
      <c r="P774" s="27"/>
      <c r="Q774" s="27"/>
      <c r="R774" s="27"/>
      <c r="S774" s="28"/>
      <c r="T774" s="29"/>
      <c r="U774" s="29"/>
      <c r="V774" s="24"/>
      <c r="W774" s="24"/>
    </row>
    <row r="775">
      <c r="A775" s="11">
        <v>45700.0</v>
      </c>
      <c r="B775" s="17">
        <v>8.0</v>
      </c>
      <c r="C775" s="17">
        <v>11.0</v>
      </c>
      <c r="D775" s="17" t="s">
        <v>90</v>
      </c>
      <c r="E775" s="17">
        <v>9.3</v>
      </c>
      <c r="F775" s="18"/>
      <c r="G775" s="17"/>
      <c r="H775" s="17">
        <v>8.81</v>
      </c>
      <c r="I775" s="17">
        <v>0.02</v>
      </c>
      <c r="J775" s="17">
        <v>11.5</v>
      </c>
      <c r="K775" s="17">
        <v>9.81</v>
      </c>
      <c r="L775" s="17" t="s">
        <v>89</v>
      </c>
      <c r="M775" s="25"/>
      <c r="N775" s="27"/>
      <c r="O775" s="27"/>
      <c r="P775" s="27"/>
      <c r="Q775" s="27"/>
      <c r="R775" s="27"/>
      <c r="S775" s="28"/>
      <c r="T775" s="29"/>
      <c r="U775" s="29"/>
      <c r="V775" s="24"/>
      <c r="W775" s="24"/>
    </row>
    <row r="776">
      <c r="A776" s="11">
        <v>45701.0</v>
      </c>
      <c r="B776" s="17">
        <v>9.0</v>
      </c>
      <c r="C776" s="17">
        <v>12.0</v>
      </c>
      <c r="D776" s="17" t="s">
        <v>91</v>
      </c>
      <c r="E776" s="17">
        <v>12.1</v>
      </c>
      <c r="F776" s="18"/>
      <c r="G776" s="17"/>
      <c r="H776" s="17">
        <v>8.83</v>
      </c>
      <c r="I776" s="17">
        <v>0.001</v>
      </c>
      <c r="J776" s="17">
        <v>10.8</v>
      </c>
      <c r="K776" s="17">
        <v>7.79</v>
      </c>
      <c r="L776" s="17" t="s">
        <v>89</v>
      </c>
      <c r="M776" s="25"/>
      <c r="N776" s="27"/>
      <c r="O776" s="27"/>
      <c r="P776" s="27"/>
      <c r="Q776" s="27"/>
      <c r="R776" s="27"/>
      <c r="S776" s="28"/>
      <c r="T776" s="29"/>
      <c r="U776" s="29"/>
      <c r="V776" s="24"/>
      <c r="W776" s="24"/>
    </row>
    <row r="777">
      <c r="A777" s="11">
        <v>45702.0</v>
      </c>
      <c r="B777" s="17">
        <v>6.0</v>
      </c>
      <c r="C777" s="17">
        <v>8.0</v>
      </c>
      <c r="D777" s="17" t="s">
        <v>81</v>
      </c>
      <c r="E777" s="17">
        <v>10.4</v>
      </c>
      <c r="F777" s="18"/>
      <c r="G777" s="17"/>
      <c r="H777" s="17">
        <v>8.75</v>
      </c>
      <c r="I777" s="17">
        <v>0.012</v>
      </c>
      <c r="J777" s="17">
        <v>11.2</v>
      </c>
      <c r="K777" s="17">
        <v>10.3</v>
      </c>
      <c r="L777" s="17">
        <v>26.0</v>
      </c>
      <c r="M777" s="17"/>
      <c r="N777" s="27"/>
      <c r="O777" s="27"/>
      <c r="P777" s="27"/>
      <c r="Q777" s="27"/>
      <c r="R777" s="27"/>
      <c r="S777" s="28"/>
      <c r="T777" s="29"/>
      <c r="U777" s="29"/>
      <c r="V777" s="24"/>
      <c r="W777" s="36"/>
    </row>
    <row r="778">
      <c r="A778" s="11">
        <v>45703.0</v>
      </c>
      <c r="B778" s="25"/>
      <c r="C778" s="25"/>
      <c r="D778" s="25"/>
      <c r="E778" s="25"/>
      <c r="F778" s="26"/>
      <c r="G778" s="25"/>
      <c r="H778" s="25"/>
      <c r="I778" s="25"/>
      <c r="J778" s="25"/>
      <c r="K778" s="25"/>
      <c r="L778" s="25"/>
      <c r="M778" s="25"/>
      <c r="N778" s="27"/>
      <c r="O778" s="27"/>
      <c r="P778" s="27"/>
      <c r="Q778" s="27"/>
      <c r="R778" s="27"/>
      <c r="S778" s="28"/>
      <c r="T778" s="29"/>
      <c r="U778" s="29"/>
      <c r="V778" s="24"/>
      <c r="W778" s="36"/>
    </row>
    <row r="779">
      <c r="A779" s="11">
        <v>45704.0</v>
      </c>
      <c r="B779" s="17">
        <v>1.0</v>
      </c>
      <c r="C779" s="17">
        <v>8.0</v>
      </c>
      <c r="D779" s="17" t="s">
        <v>73</v>
      </c>
      <c r="E779" s="17">
        <v>8.6</v>
      </c>
      <c r="F779" s="18"/>
      <c r="G779" s="17"/>
      <c r="H779" s="17">
        <v>8.56</v>
      </c>
      <c r="I779" s="17">
        <v>0.035</v>
      </c>
      <c r="J779" s="17">
        <v>11.7</v>
      </c>
      <c r="K779" s="17">
        <v>17.71</v>
      </c>
      <c r="L779" s="25"/>
      <c r="M779" s="25"/>
      <c r="N779" s="27"/>
      <c r="O779" s="27"/>
      <c r="P779" s="27"/>
      <c r="Q779" s="27"/>
      <c r="R779" s="27"/>
      <c r="S779" s="28"/>
      <c r="T779" s="29"/>
      <c r="U779" s="29"/>
      <c r="V779" s="36">
        <v>150000.0</v>
      </c>
      <c r="W779" s="24"/>
    </row>
    <row r="780">
      <c r="A780" s="11">
        <v>45705.0</v>
      </c>
      <c r="B780" s="17">
        <v>1.0</v>
      </c>
      <c r="C780" s="17">
        <v>9.0</v>
      </c>
      <c r="D780" s="17" t="s">
        <v>62</v>
      </c>
      <c r="E780" s="17">
        <v>8.0</v>
      </c>
      <c r="F780" s="18"/>
      <c r="G780" s="17"/>
      <c r="H780" s="17">
        <v>8.6</v>
      </c>
      <c r="I780" s="17">
        <v>0.042</v>
      </c>
      <c r="J780" s="17">
        <v>11.8</v>
      </c>
      <c r="K780" s="17">
        <v>16.67</v>
      </c>
      <c r="L780" s="17">
        <v>25.0</v>
      </c>
      <c r="M780" s="17">
        <v>25.0</v>
      </c>
      <c r="N780" s="27"/>
      <c r="O780" s="27"/>
      <c r="P780" s="27"/>
      <c r="Q780" s="27"/>
      <c r="R780" s="27"/>
      <c r="S780" s="28"/>
      <c r="T780" s="29"/>
      <c r="U780" s="29"/>
      <c r="V780" s="24"/>
      <c r="W780" s="24"/>
    </row>
    <row r="781">
      <c r="A781" s="11">
        <v>45706.0</v>
      </c>
      <c r="B781" s="17">
        <v>1.0</v>
      </c>
      <c r="C781" s="17">
        <v>7.0</v>
      </c>
      <c r="D781" s="17" t="s">
        <v>62</v>
      </c>
      <c r="E781" s="17">
        <v>7.1</v>
      </c>
      <c r="F781" s="18"/>
      <c r="G781" s="17"/>
      <c r="H781" s="17">
        <v>8.4</v>
      </c>
      <c r="I781" s="17">
        <v>0.019</v>
      </c>
      <c r="J781" s="17">
        <v>12.0</v>
      </c>
      <c r="K781" s="17">
        <v>24.44</v>
      </c>
      <c r="L781" s="17">
        <v>27.0</v>
      </c>
      <c r="M781" s="17">
        <v>27.0</v>
      </c>
      <c r="N781" s="27"/>
      <c r="O781" s="27"/>
      <c r="P781" s="27"/>
      <c r="Q781" s="27"/>
      <c r="R781" s="27"/>
      <c r="S781" s="28"/>
      <c r="T781" s="29"/>
      <c r="U781" s="29"/>
      <c r="V781" s="24"/>
      <c r="W781" s="24"/>
    </row>
    <row r="782">
      <c r="A782" s="11">
        <v>45707.0</v>
      </c>
      <c r="B782" s="17">
        <v>1.0</v>
      </c>
      <c r="C782" s="17">
        <v>7.0</v>
      </c>
      <c r="D782" s="17" t="s">
        <v>62</v>
      </c>
      <c r="E782" s="17">
        <v>6.5</v>
      </c>
      <c r="F782" s="18"/>
      <c r="G782" s="17"/>
      <c r="H782" s="17">
        <v>8.4</v>
      </c>
      <c r="I782" s="17">
        <v>0.026</v>
      </c>
      <c r="J782" s="17">
        <v>12.2</v>
      </c>
      <c r="K782" s="17">
        <v>28.7</v>
      </c>
      <c r="L782" s="17">
        <v>24.0</v>
      </c>
      <c r="M782" s="17">
        <v>26.0</v>
      </c>
      <c r="N782" s="27"/>
      <c r="O782" s="27"/>
      <c r="P782" s="27"/>
      <c r="Q782" s="27"/>
      <c r="R782" s="27"/>
      <c r="S782" s="28"/>
      <c r="T782" s="29"/>
      <c r="U782" s="29"/>
      <c r="V782" s="24"/>
      <c r="W782" s="24"/>
    </row>
    <row r="783">
      <c r="A783" s="11">
        <v>45708.0</v>
      </c>
      <c r="B783" s="17">
        <v>0.0</v>
      </c>
      <c r="C783" s="17">
        <v>9.0</v>
      </c>
      <c r="D783" s="17" t="s">
        <v>64</v>
      </c>
      <c r="E783" s="17">
        <v>6.4</v>
      </c>
      <c r="F783" s="18"/>
      <c r="G783" s="17"/>
      <c r="H783" s="17">
        <v>8.26</v>
      </c>
      <c r="I783" s="17">
        <v>0.027</v>
      </c>
      <c r="J783" s="17">
        <v>12.2</v>
      </c>
      <c r="K783" s="17">
        <v>39.57</v>
      </c>
      <c r="L783" s="25"/>
      <c r="M783" s="25"/>
      <c r="N783" s="27"/>
      <c r="O783" s="27"/>
      <c r="P783" s="27"/>
      <c r="Q783" s="27"/>
      <c r="R783" s="27"/>
      <c r="S783" s="31">
        <v>11.7</v>
      </c>
      <c r="T783" s="32" t="s">
        <v>39</v>
      </c>
      <c r="U783" s="32"/>
      <c r="V783" s="36">
        <v>200000.0</v>
      </c>
      <c r="W783" s="36"/>
    </row>
    <row r="784">
      <c r="A784" s="11">
        <v>45709.0</v>
      </c>
      <c r="B784" s="17">
        <v>-1.0</v>
      </c>
      <c r="C784" s="17">
        <v>11.0</v>
      </c>
      <c r="D784" s="17" t="s">
        <v>64</v>
      </c>
      <c r="E784" s="17">
        <v>6.6</v>
      </c>
      <c r="F784" s="18"/>
      <c r="G784" s="17"/>
      <c r="H784" s="17">
        <v>8.5</v>
      </c>
      <c r="I784" s="17">
        <v>0.034</v>
      </c>
      <c r="J784" s="17">
        <v>12.2</v>
      </c>
      <c r="K784" s="17">
        <v>22.81</v>
      </c>
      <c r="L784" s="17">
        <v>27.0</v>
      </c>
      <c r="M784" s="25"/>
      <c r="N784" s="27"/>
      <c r="O784" s="27"/>
      <c r="P784" s="27"/>
      <c r="Q784" s="27"/>
      <c r="R784" s="27"/>
      <c r="S784" s="28"/>
      <c r="T784" s="29"/>
      <c r="U784" s="29"/>
      <c r="V784" s="24"/>
      <c r="W784" s="24"/>
    </row>
    <row r="785">
      <c r="A785" s="11">
        <v>45710.0</v>
      </c>
      <c r="B785" s="25"/>
      <c r="C785" s="25"/>
      <c r="D785" s="25"/>
      <c r="E785" s="25"/>
      <c r="F785" s="26"/>
      <c r="G785" s="25"/>
      <c r="H785" s="25"/>
      <c r="I785" s="25"/>
      <c r="J785" s="25"/>
      <c r="K785" s="25"/>
      <c r="L785" s="25"/>
      <c r="M785" s="25"/>
      <c r="N785" s="27"/>
      <c r="O785" s="27"/>
      <c r="P785" s="27"/>
      <c r="Q785" s="27"/>
      <c r="R785" s="27"/>
      <c r="S785" s="28"/>
      <c r="T785" s="29"/>
      <c r="U785" s="29"/>
      <c r="V785" s="24"/>
      <c r="W785" s="24"/>
    </row>
    <row r="786">
      <c r="A786" s="11">
        <v>45711.0</v>
      </c>
      <c r="B786" s="25"/>
      <c r="C786" s="25"/>
      <c r="D786" s="25"/>
      <c r="E786" s="25"/>
      <c r="F786" s="26"/>
      <c r="G786" s="25"/>
      <c r="H786" s="25"/>
      <c r="I786" s="25"/>
      <c r="J786" s="25"/>
      <c r="K786" s="25"/>
      <c r="L786" s="25"/>
      <c r="M786" s="25"/>
      <c r="N786" s="27"/>
      <c r="O786" s="27"/>
      <c r="P786" s="27"/>
      <c r="Q786" s="27"/>
      <c r="R786" s="27"/>
      <c r="S786" s="28"/>
      <c r="T786" s="29"/>
      <c r="U786" s="29"/>
      <c r="V786" s="24"/>
      <c r="W786" s="24"/>
    </row>
    <row r="787">
      <c r="A787" s="11">
        <v>45712.0</v>
      </c>
      <c r="B787" s="17">
        <v>7.0</v>
      </c>
      <c r="C787" s="17">
        <v>13.0</v>
      </c>
      <c r="D787" s="17" t="s">
        <v>62</v>
      </c>
      <c r="E787" s="17">
        <v>8.9</v>
      </c>
      <c r="F787" s="18"/>
      <c r="G787" s="17"/>
      <c r="H787" s="17">
        <v>8.85</v>
      </c>
      <c r="I787" s="17">
        <v>0.007</v>
      </c>
      <c r="J787" s="17">
        <v>11.6</v>
      </c>
      <c r="K787" s="17">
        <v>9.17</v>
      </c>
      <c r="L787" s="17">
        <v>24.0</v>
      </c>
      <c r="M787" s="25"/>
      <c r="N787" s="27"/>
      <c r="O787" s="27"/>
      <c r="P787" s="27"/>
      <c r="Q787" s="27"/>
      <c r="R787" s="27"/>
      <c r="S787" s="28"/>
      <c r="T787" s="29"/>
      <c r="U787" s="29"/>
      <c r="V787" s="36">
        <v>170000.0</v>
      </c>
      <c r="W787" s="36"/>
    </row>
    <row r="788">
      <c r="A788" s="11">
        <v>45713.0</v>
      </c>
      <c r="B788" s="17">
        <v>6.0</v>
      </c>
      <c r="C788" s="17">
        <v>12.0</v>
      </c>
      <c r="D788" s="17" t="s">
        <v>92</v>
      </c>
      <c r="E788" s="17">
        <v>10.8</v>
      </c>
      <c r="F788" s="18"/>
      <c r="G788" s="17"/>
      <c r="H788" s="17">
        <v>8.53</v>
      </c>
      <c r="I788" s="17">
        <v>0.001</v>
      </c>
      <c r="J788" s="17">
        <v>11.1</v>
      </c>
      <c r="K788" s="17">
        <v>16.0</v>
      </c>
      <c r="L788" s="17">
        <v>20.0</v>
      </c>
      <c r="M788" s="17">
        <v>20.0</v>
      </c>
      <c r="N788" s="27"/>
      <c r="O788" s="27"/>
      <c r="P788" s="27"/>
      <c r="Q788" s="27"/>
      <c r="R788" s="27"/>
      <c r="S788" s="28"/>
      <c r="T788" s="29"/>
      <c r="U788" s="29"/>
      <c r="V788" s="36">
        <v>180000.0</v>
      </c>
      <c r="W788" s="36"/>
    </row>
    <row r="789">
      <c r="A789" s="11">
        <v>45714.0</v>
      </c>
      <c r="B789" s="17">
        <v>8.0</v>
      </c>
      <c r="C789" s="17">
        <v>11.0</v>
      </c>
      <c r="D789" s="17" t="s">
        <v>79</v>
      </c>
      <c r="E789" s="17">
        <v>10.4</v>
      </c>
      <c r="F789" s="18"/>
      <c r="G789" s="17"/>
      <c r="H789" s="17">
        <v>8.69</v>
      </c>
      <c r="I789" s="17">
        <v>0.001</v>
      </c>
      <c r="J789" s="17">
        <v>11.2</v>
      </c>
      <c r="K789" s="17">
        <v>11.67</v>
      </c>
      <c r="L789" s="17">
        <v>20.0</v>
      </c>
      <c r="M789" s="17">
        <v>16.0</v>
      </c>
      <c r="N789" s="27"/>
      <c r="O789" s="27"/>
      <c r="P789" s="27"/>
      <c r="Q789" s="27"/>
      <c r="R789" s="27"/>
      <c r="S789" s="28"/>
      <c r="T789" s="29"/>
      <c r="U789" s="29"/>
      <c r="V789" s="24"/>
      <c r="W789" s="24"/>
    </row>
    <row r="790">
      <c r="A790" s="11">
        <v>45715.0</v>
      </c>
      <c r="B790" s="17">
        <v>6.0</v>
      </c>
      <c r="C790" s="17">
        <v>13.0</v>
      </c>
      <c r="D790" s="17" t="s">
        <v>73</v>
      </c>
      <c r="E790" s="17">
        <v>9.9</v>
      </c>
      <c r="F790" s="18"/>
      <c r="G790" s="17"/>
      <c r="H790" s="17">
        <v>8.98</v>
      </c>
      <c r="I790" s="17">
        <v>0.001</v>
      </c>
      <c r="J790" s="17">
        <v>11.3</v>
      </c>
      <c r="K790" s="17">
        <v>6.57</v>
      </c>
      <c r="L790" s="17">
        <v>20.0</v>
      </c>
      <c r="M790" s="17">
        <v>19.0</v>
      </c>
      <c r="N790" s="27"/>
      <c r="O790" s="27"/>
      <c r="P790" s="27"/>
      <c r="Q790" s="27"/>
      <c r="R790" s="27"/>
      <c r="S790" s="28"/>
      <c r="T790" s="29"/>
      <c r="U790" s="29"/>
      <c r="V790" s="36">
        <v>230000.0</v>
      </c>
      <c r="W790" s="36"/>
    </row>
    <row r="791">
      <c r="A791" s="11">
        <v>45716.0</v>
      </c>
      <c r="B791" s="17">
        <v>3.0</v>
      </c>
      <c r="C791" s="17">
        <v>12.0</v>
      </c>
      <c r="D791" s="17" t="s">
        <v>73</v>
      </c>
      <c r="E791" s="17">
        <v>9.4</v>
      </c>
      <c r="F791" s="18"/>
      <c r="G791" s="17"/>
      <c r="H791" s="17">
        <v>8.98</v>
      </c>
      <c r="I791" s="17">
        <v>0.001</v>
      </c>
      <c r="J791" s="17">
        <v>11.4</v>
      </c>
      <c r="K791" s="17">
        <v>6.57</v>
      </c>
      <c r="L791" s="17">
        <v>20.0</v>
      </c>
      <c r="M791" s="17">
        <v>24.0</v>
      </c>
      <c r="N791" s="27"/>
      <c r="O791" s="27"/>
      <c r="P791" s="27"/>
      <c r="Q791" s="27"/>
      <c r="R791" s="27"/>
      <c r="S791" s="28"/>
      <c r="T791" s="29"/>
      <c r="U791" s="29"/>
      <c r="V791" s="36">
        <v>200000.0</v>
      </c>
      <c r="W791" s="36"/>
    </row>
    <row r="792">
      <c r="A792" s="11">
        <v>45717.0</v>
      </c>
      <c r="B792" s="25"/>
      <c r="C792" s="25"/>
      <c r="D792" s="25"/>
      <c r="E792" s="25"/>
      <c r="F792" s="26"/>
      <c r="G792" s="25"/>
      <c r="H792" s="25"/>
      <c r="I792" s="25"/>
      <c r="J792" s="25"/>
      <c r="K792" s="25"/>
      <c r="L792" s="25"/>
      <c r="M792" s="25"/>
      <c r="N792" s="27"/>
      <c r="O792" s="27"/>
      <c r="P792" s="27"/>
      <c r="Q792" s="27"/>
      <c r="R792" s="27"/>
      <c r="S792" s="28"/>
      <c r="T792" s="29"/>
      <c r="U792" s="29"/>
      <c r="V792" s="24"/>
      <c r="W792" s="24"/>
    </row>
    <row r="793">
      <c r="A793" s="11">
        <v>45718.0</v>
      </c>
      <c r="B793" s="17">
        <v>4.0</v>
      </c>
      <c r="C793" s="17">
        <v>13.0</v>
      </c>
      <c r="D793" s="17" t="s">
        <v>64</v>
      </c>
      <c r="E793" s="17">
        <v>9.3</v>
      </c>
      <c r="F793" s="18"/>
      <c r="G793" s="17"/>
      <c r="H793" s="17">
        <v>8.97</v>
      </c>
      <c r="I793" s="17">
        <v>0.002</v>
      </c>
      <c r="J793" s="17">
        <v>11.4</v>
      </c>
      <c r="K793" s="17">
        <v>6.61</v>
      </c>
      <c r="L793" s="25"/>
      <c r="M793" s="25"/>
      <c r="N793" s="27"/>
      <c r="O793" s="27"/>
      <c r="P793" s="27"/>
      <c r="Q793" s="27"/>
      <c r="R793" s="27"/>
      <c r="S793" s="28"/>
      <c r="T793" s="29"/>
      <c r="U793" s="29"/>
      <c r="V793" s="24"/>
      <c r="W793" s="24"/>
    </row>
    <row r="794">
      <c r="A794" s="11">
        <v>45719.0</v>
      </c>
      <c r="B794" s="17">
        <v>2.0</v>
      </c>
      <c r="C794" s="17">
        <v>13.0</v>
      </c>
      <c r="D794" s="17" t="s">
        <v>64</v>
      </c>
      <c r="E794" s="17">
        <v>10.0</v>
      </c>
      <c r="F794" s="18"/>
      <c r="G794" s="17"/>
      <c r="H794" s="17">
        <v>8.97</v>
      </c>
      <c r="I794" s="17">
        <v>0.002</v>
      </c>
      <c r="J794" s="17">
        <v>11.7</v>
      </c>
      <c r="K794" s="17">
        <v>6.61</v>
      </c>
      <c r="L794" s="17">
        <v>24.0</v>
      </c>
      <c r="M794" s="17">
        <v>23.0</v>
      </c>
      <c r="N794" s="27"/>
      <c r="O794" s="27"/>
      <c r="P794" s="27"/>
      <c r="Q794" s="27"/>
      <c r="R794" s="27"/>
      <c r="S794" s="28"/>
      <c r="T794" s="29"/>
      <c r="U794" s="29"/>
      <c r="V794" s="24"/>
      <c r="W794" s="24"/>
    </row>
    <row r="795">
      <c r="A795" s="11">
        <v>45720.0</v>
      </c>
      <c r="B795" s="17">
        <v>1.0</v>
      </c>
      <c r="C795" s="17">
        <v>14.0</v>
      </c>
      <c r="D795" s="17" t="s">
        <v>64</v>
      </c>
      <c r="E795" s="17">
        <v>9.9</v>
      </c>
      <c r="F795" s="18"/>
      <c r="G795" s="17"/>
      <c r="H795" s="17">
        <v>8.97</v>
      </c>
      <c r="I795" s="17">
        <v>0.002</v>
      </c>
      <c r="J795" s="17">
        <v>11.3</v>
      </c>
      <c r="K795" s="17">
        <v>6.61</v>
      </c>
      <c r="L795" s="17">
        <v>20.0</v>
      </c>
      <c r="M795" s="17">
        <v>20.0</v>
      </c>
      <c r="N795" s="27"/>
      <c r="O795" s="27"/>
      <c r="P795" s="27"/>
      <c r="Q795" s="27"/>
      <c r="R795" s="27"/>
      <c r="S795" s="28"/>
      <c r="T795" s="29"/>
      <c r="U795" s="29"/>
      <c r="V795" s="36">
        <v>305000.0</v>
      </c>
      <c r="W795" s="36"/>
    </row>
    <row r="796">
      <c r="A796" s="11">
        <v>45721.0</v>
      </c>
      <c r="B796" s="25"/>
      <c r="C796" s="25"/>
      <c r="D796" s="25"/>
      <c r="E796" s="25"/>
      <c r="F796" s="26"/>
      <c r="G796" s="25"/>
      <c r="H796" s="25"/>
      <c r="I796" s="25"/>
      <c r="J796" s="25"/>
      <c r="K796" s="25"/>
      <c r="L796" s="25"/>
      <c r="M796" s="25"/>
      <c r="N796" s="27"/>
      <c r="O796" s="27"/>
      <c r="P796" s="27"/>
      <c r="Q796" s="27"/>
      <c r="R796" s="27"/>
      <c r="S796" s="31">
        <v>20.9</v>
      </c>
      <c r="T796" s="32" t="s">
        <v>93</v>
      </c>
      <c r="U796" s="32"/>
      <c r="V796" s="24"/>
      <c r="W796" s="24"/>
    </row>
    <row r="797">
      <c r="A797" s="11">
        <v>45722.0</v>
      </c>
      <c r="B797" s="17">
        <v>1.0</v>
      </c>
      <c r="C797" s="17">
        <v>14.0</v>
      </c>
      <c r="D797" s="17" t="s">
        <v>64</v>
      </c>
      <c r="E797" s="17">
        <v>10.8</v>
      </c>
      <c r="F797" s="18"/>
      <c r="G797" s="17"/>
      <c r="H797" s="17">
        <v>8.32</v>
      </c>
      <c r="I797" s="17">
        <v>0.016</v>
      </c>
      <c r="J797" s="17">
        <v>11.1</v>
      </c>
      <c r="K797" s="17">
        <v>24.47</v>
      </c>
      <c r="L797" s="17">
        <v>20.0</v>
      </c>
      <c r="M797" s="25"/>
      <c r="N797" s="27"/>
      <c r="O797" s="27"/>
      <c r="P797" s="27"/>
      <c r="Q797" s="27"/>
      <c r="R797" s="27"/>
      <c r="S797" s="28"/>
      <c r="T797" s="29"/>
      <c r="U797" s="29"/>
      <c r="V797" s="36">
        <v>280000.0</v>
      </c>
      <c r="W797" s="36"/>
    </row>
    <row r="798">
      <c r="A798" s="11">
        <v>45723.0</v>
      </c>
      <c r="B798" s="17">
        <v>1.0</v>
      </c>
      <c r="C798" s="17">
        <v>16.0</v>
      </c>
      <c r="D798" s="17" t="s">
        <v>64</v>
      </c>
      <c r="E798" s="17">
        <v>12.1</v>
      </c>
      <c r="F798" s="18"/>
      <c r="G798" s="17"/>
      <c r="H798" s="17"/>
      <c r="I798" s="17">
        <v>0.02</v>
      </c>
      <c r="J798" s="17">
        <v>10.8</v>
      </c>
      <c r="K798" s="17"/>
      <c r="L798" s="17">
        <v>19.0</v>
      </c>
      <c r="M798" s="17">
        <v>21.0</v>
      </c>
      <c r="N798" s="27"/>
      <c r="O798" s="27"/>
      <c r="P798" s="27"/>
      <c r="Q798" s="27"/>
      <c r="R798" s="27"/>
      <c r="S798" s="28"/>
      <c r="T798" s="29"/>
      <c r="U798" s="29"/>
      <c r="V798" s="24"/>
      <c r="W798" s="24"/>
    </row>
    <row r="799">
      <c r="A799" s="11">
        <v>45724.0</v>
      </c>
      <c r="B799" s="25"/>
      <c r="C799" s="25"/>
      <c r="D799" s="25"/>
      <c r="E799" s="25"/>
      <c r="F799" s="26"/>
      <c r="G799" s="25"/>
      <c r="H799" s="25"/>
      <c r="I799" s="25"/>
      <c r="J799" s="25"/>
      <c r="K799" s="25"/>
      <c r="L799" s="25"/>
      <c r="M799" s="25"/>
      <c r="N799" s="27"/>
      <c r="O799" s="27"/>
      <c r="P799" s="27"/>
      <c r="Q799" s="27"/>
      <c r="R799" s="27"/>
      <c r="S799" s="28"/>
      <c r="T799" s="29"/>
      <c r="U799" s="29"/>
      <c r="V799" s="24"/>
      <c r="W799" s="24"/>
    </row>
    <row r="800">
      <c r="A800" s="11">
        <v>45725.0</v>
      </c>
      <c r="B800" s="25"/>
      <c r="C800" s="25"/>
      <c r="D800" s="25"/>
      <c r="E800" s="25"/>
      <c r="F800" s="26"/>
      <c r="G800" s="25"/>
      <c r="H800" s="25"/>
      <c r="I800" s="25"/>
      <c r="J800" s="25"/>
      <c r="K800" s="25"/>
      <c r="L800" s="25"/>
      <c r="M800" s="25"/>
      <c r="N800" s="27"/>
      <c r="O800" s="27"/>
      <c r="P800" s="27"/>
      <c r="Q800" s="27"/>
      <c r="R800" s="27"/>
      <c r="S800" s="28"/>
      <c r="T800" s="29"/>
      <c r="U800" s="29"/>
      <c r="V800" s="24"/>
      <c r="W800" s="24"/>
    </row>
    <row r="801">
      <c r="A801" s="11">
        <v>45726.0</v>
      </c>
      <c r="B801" s="17">
        <v>10.0</v>
      </c>
      <c r="C801" s="17">
        <v>15.0</v>
      </c>
      <c r="D801" s="17" t="s">
        <v>79</v>
      </c>
      <c r="E801" s="17">
        <v>13.7</v>
      </c>
      <c r="F801" s="18"/>
      <c r="G801" s="17"/>
      <c r="H801" s="17">
        <v>8.71</v>
      </c>
      <c r="I801" s="17">
        <v>0.006</v>
      </c>
      <c r="J801" s="17">
        <v>10.4</v>
      </c>
      <c r="K801" s="17">
        <v>9.8</v>
      </c>
      <c r="L801" s="17">
        <v>21.0</v>
      </c>
      <c r="M801" s="17">
        <v>24.0</v>
      </c>
      <c r="N801" s="27"/>
      <c r="O801" s="27"/>
      <c r="P801" s="27"/>
      <c r="Q801" s="27"/>
      <c r="R801" s="27"/>
      <c r="S801" s="28"/>
      <c r="T801" s="29"/>
      <c r="U801" s="29"/>
      <c r="V801" s="24"/>
      <c r="W801" s="24"/>
    </row>
    <row r="802">
      <c r="A802" s="11">
        <v>45727.0</v>
      </c>
      <c r="B802" s="17">
        <v>9.0</v>
      </c>
      <c r="C802" s="17">
        <v>16.0</v>
      </c>
      <c r="D802" s="17" t="s">
        <v>73</v>
      </c>
      <c r="E802" s="17">
        <v>14.2</v>
      </c>
      <c r="F802" s="18"/>
      <c r="G802" s="17"/>
      <c r="H802" s="17">
        <v>8.87</v>
      </c>
      <c r="I802" s="17">
        <v>0.004</v>
      </c>
      <c r="J802" s="17">
        <v>10.3</v>
      </c>
      <c r="K802" s="17">
        <v>6.71</v>
      </c>
      <c r="L802" s="17">
        <v>20.0</v>
      </c>
      <c r="M802" s="17">
        <v>22.0</v>
      </c>
      <c r="N802" s="27"/>
      <c r="O802" s="27"/>
      <c r="P802" s="27"/>
      <c r="Q802" s="27"/>
      <c r="R802" s="27"/>
      <c r="S802" s="28"/>
      <c r="T802" s="29"/>
      <c r="U802" s="29"/>
      <c r="V802" s="36">
        <v>180000.0</v>
      </c>
      <c r="W802" s="36"/>
    </row>
    <row r="803">
      <c r="A803" s="11">
        <v>45728.0</v>
      </c>
      <c r="B803" s="17">
        <v>9.0</v>
      </c>
      <c r="C803" s="17">
        <v>15.0</v>
      </c>
      <c r="D803" s="17" t="s">
        <v>73</v>
      </c>
      <c r="E803" s="17">
        <v>15.7</v>
      </c>
      <c r="F803" s="18"/>
      <c r="G803" s="17"/>
      <c r="H803" s="17">
        <v>8.88</v>
      </c>
      <c r="I803" s="17">
        <v>0.006</v>
      </c>
      <c r="J803" s="17">
        <v>9.9</v>
      </c>
      <c r="K803" s="17">
        <v>5.76</v>
      </c>
      <c r="L803" s="17">
        <v>20.0</v>
      </c>
      <c r="M803" s="17">
        <v>20.0</v>
      </c>
      <c r="N803" s="27"/>
      <c r="O803" s="27"/>
      <c r="P803" s="27"/>
      <c r="Q803" s="27"/>
      <c r="R803" s="27"/>
      <c r="S803" s="28"/>
      <c r="T803" s="29"/>
      <c r="U803" s="29"/>
      <c r="V803" s="36">
        <v>130000.0</v>
      </c>
      <c r="W803" s="36"/>
    </row>
    <row r="804">
      <c r="A804" s="11">
        <v>45729.0</v>
      </c>
      <c r="B804" s="17">
        <v>8.0</v>
      </c>
      <c r="C804" s="17">
        <v>17.0</v>
      </c>
      <c r="D804" s="17" t="s">
        <v>73</v>
      </c>
      <c r="E804" s="17">
        <v>12.9</v>
      </c>
      <c r="F804" s="18"/>
      <c r="G804" s="17"/>
      <c r="H804" s="17">
        <v>8.25</v>
      </c>
      <c r="I804" s="17">
        <v>0.004</v>
      </c>
      <c r="J804" s="17">
        <v>10.6</v>
      </c>
      <c r="K804" s="17">
        <v>25.51</v>
      </c>
      <c r="L804" s="17">
        <v>20.0</v>
      </c>
      <c r="M804" s="17">
        <v>15.0</v>
      </c>
      <c r="N804" s="27"/>
      <c r="O804" s="27"/>
      <c r="P804" s="27"/>
      <c r="Q804" s="27"/>
      <c r="R804" s="27"/>
      <c r="S804" s="28"/>
      <c r="T804" s="29"/>
      <c r="U804" s="29"/>
      <c r="V804" s="24"/>
      <c r="W804" s="24"/>
    </row>
    <row r="805">
      <c r="A805" s="11">
        <v>45730.0</v>
      </c>
      <c r="B805" s="17">
        <v>10.0</v>
      </c>
      <c r="C805" s="17">
        <v>14.0</v>
      </c>
      <c r="D805" s="17" t="s">
        <v>79</v>
      </c>
      <c r="E805" s="17">
        <v>13.4</v>
      </c>
      <c r="F805" s="18"/>
      <c r="G805" s="17"/>
      <c r="H805" s="17">
        <v>8.36</v>
      </c>
      <c r="I805" s="17">
        <v>0.011</v>
      </c>
      <c r="J805" s="17">
        <v>10.5</v>
      </c>
      <c r="K805" s="17">
        <v>19.61</v>
      </c>
      <c r="L805" s="17">
        <v>16.0</v>
      </c>
      <c r="M805" s="17">
        <v>14.0</v>
      </c>
      <c r="N805" s="27"/>
      <c r="O805" s="27"/>
      <c r="P805" s="27"/>
      <c r="Q805" s="27"/>
      <c r="R805" s="27"/>
      <c r="S805" s="28"/>
      <c r="T805" s="29"/>
      <c r="U805" s="29"/>
      <c r="V805" s="36">
        <v>150000.0</v>
      </c>
      <c r="W805" s="24"/>
    </row>
    <row r="806">
      <c r="A806" s="11">
        <v>45731.0</v>
      </c>
      <c r="B806" s="25"/>
      <c r="C806" s="25"/>
      <c r="D806" s="25"/>
      <c r="E806" s="25"/>
      <c r="F806" s="26"/>
      <c r="G806" s="25"/>
      <c r="H806" s="25"/>
      <c r="I806" s="25"/>
      <c r="J806" s="25"/>
      <c r="K806" s="25"/>
      <c r="L806" s="25"/>
      <c r="M806" s="25"/>
      <c r="N806" s="27"/>
      <c r="O806" s="27"/>
      <c r="P806" s="27"/>
      <c r="Q806" s="27"/>
      <c r="R806" s="27"/>
      <c r="S806" s="28"/>
      <c r="T806" s="29"/>
      <c r="U806" s="29"/>
      <c r="V806" s="24"/>
      <c r="W806" s="24"/>
    </row>
    <row r="807">
      <c r="A807" s="11">
        <v>45732.0</v>
      </c>
      <c r="B807" s="17">
        <v>7.0</v>
      </c>
      <c r="C807" s="17">
        <v>16.0</v>
      </c>
      <c r="D807" s="17" t="s">
        <v>73</v>
      </c>
      <c r="E807" s="17">
        <v>13.4</v>
      </c>
      <c r="F807" s="18"/>
      <c r="G807" s="17"/>
      <c r="H807" s="17">
        <v>8.2</v>
      </c>
      <c r="I807" s="17">
        <v>0.011</v>
      </c>
      <c r="J807" s="17">
        <v>10.6</v>
      </c>
      <c r="K807" s="17">
        <v>29.35</v>
      </c>
      <c r="L807" s="25"/>
      <c r="M807" s="25"/>
      <c r="N807" s="27"/>
      <c r="O807" s="27"/>
      <c r="P807" s="27"/>
      <c r="Q807" s="27"/>
      <c r="R807" s="27"/>
      <c r="S807" s="28"/>
      <c r="T807" s="29"/>
      <c r="U807" s="29"/>
      <c r="V807" s="24"/>
      <c r="W807" s="24"/>
    </row>
    <row r="808">
      <c r="A808" s="11">
        <v>45733.0</v>
      </c>
      <c r="B808" s="17">
        <v>3.0</v>
      </c>
      <c r="C808" s="17">
        <v>14.0</v>
      </c>
      <c r="D808" s="17" t="s">
        <v>73</v>
      </c>
      <c r="E808" s="17">
        <v>11.4</v>
      </c>
      <c r="F808" s="18"/>
      <c r="G808" s="17"/>
      <c r="H808" s="17">
        <v>8.22</v>
      </c>
      <c r="I808" s="17">
        <v>0.008</v>
      </c>
      <c r="J808" s="17">
        <v>11.0</v>
      </c>
      <c r="K808" s="17">
        <v>30.38</v>
      </c>
      <c r="L808" s="17">
        <v>15.0</v>
      </c>
      <c r="M808" s="17">
        <v>10.0</v>
      </c>
      <c r="N808" s="27"/>
      <c r="O808" s="27"/>
      <c r="P808" s="27"/>
      <c r="Q808" s="27"/>
      <c r="R808" s="27"/>
      <c r="S808" s="28"/>
      <c r="T808" s="29"/>
      <c r="U808" s="29"/>
      <c r="V808" s="36">
        <v>160000.0</v>
      </c>
      <c r="W808" s="36"/>
    </row>
    <row r="809">
      <c r="A809" s="11">
        <v>45734.0</v>
      </c>
      <c r="B809" s="17">
        <v>2.0</v>
      </c>
      <c r="C809" s="17">
        <v>9.0</v>
      </c>
      <c r="D809" s="17" t="s">
        <v>62</v>
      </c>
      <c r="E809" s="17">
        <v>10.7</v>
      </c>
      <c r="F809" s="18"/>
      <c r="G809" s="17"/>
      <c r="H809" s="17">
        <v>8.13</v>
      </c>
      <c r="I809" s="17">
        <v>0.003</v>
      </c>
      <c r="J809" s="17">
        <v>11.1</v>
      </c>
      <c r="K809" s="17">
        <v>38.32</v>
      </c>
      <c r="L809" s="17">
        <v>17.0</v>
      </c>
      <c r="M809" s="17">
        <v>22.0</v>
      </c>
      <c r="N809" s="27"/>
      <c r="O809" s="27"/>
      <c r="P809" s="27"/>
      <c r="Q809" s="27"/>
      <c r="R809" s="27"/>
      <c r="S809" s="28"/>
      <c r="T809" s="29"/>
      <c r="U809" s="29"/>
      <c r="V809" s="36">
        <v>190000.0</v>
      </c>
      <c r="W809" s="36">
        <v>170000.0</v>
      </c>
    </row>
    <row r="810">
      <c r="A810" s="11">
        <v>45735.0</v>
      </c>
      <c r="B810" s="17">
        <v>0.0</v>
      </c>
      <c r="C810" s="17">
        <v>11.0</v>
      </c>
      <c r="D810" s="17" t="s">
        <v>64</v>
      </c>
      <c r="E810" s="17">
        <v>9.3</v>
      </c>
      <c r="F810" s="18"/>
      <c r="G810" s="17"/>
      <c r="H810" s="17">
        <v>8.18</v>
      </c>
      <c r="I810" s="17">
        <v>0.008</v>
      </c>
      <c r="J810" s="17">
        <v>11.4</v>
      </c>
      <c r="K810" s="17">
        <v>38.9</v>
      </c>
      <c r="L810" s="17">
        <v>18.0</v>
      </c>
      <c r="M810" s="17">
        <v>15.0</v>
      </c>
      <c r="N810" s="27"/>
      <c r="O810" s="27"/>
      <c r="P810" s="27"/>
      <c r="Q810" s="27"/>
      <c r="R810" s="27"/>
      <c r="S810" s="31">
        <v>12.01</v>
      </c>
      <c r="T810" s="32"/>
      <c r="U810" s="32"/>
      <c r="V810" s="36">
        <v>190000.0</v>
      </c>
      <c r="W810" s="36">
        <v>150000.0</v>
      </c>
    </row>
    <row r="811">
      <c r="A811" s="11">
        <v>45736.0</v>
      </c>
      <c r="B811" s="17">
        <v>1.0</v>
      </c>
      <c r="C811" s="17">
        <v>12.0</v>
      </c>
      <c r="D811" s="17" t="s">
        <v>64</v>
      </c>
      <c r="E811" s="17">
        <v>10.7</v>
      </c>
      <c r="F811" s="18"/>
      <c r="G811" s="17"/>
      <c r="H811" s="17">
        <v>8.31</v>
      </c>
      <c r="I811" s="17">
        <v>0.009</v>
      </c>
      <c r="J811" s="17">
        <v>11.1</v>
      </c>
      <c r="K811" s="17">
        <v>26.2</v>
      </c>
      <c r="L811" s="17">
        <v>19.0</v>
      </c>
      <c r="M811" s="17">
        <v>12.0</v>
      </c>
      <c r="N811" s="27"/>
      <c r="O811" s="27"/>
      <c r="P811" s="27"/>
      <c r="Q811" s="27"/>
      <c r="R811" s="27"/>
      <c r="S811" s="28"/>
      <c r="T811" s="29"/>
      <c r="U811" s="29"/>
      <c r="V811" s="36">
        <v>260000.0</v>
      </c>
      <c r="W811" s="36">
        <v>170000.0</v>
      </c>
    </row>
    <row r="812">
      <c r="A812" s="11">
        <v>45737.0</v>
      </c>
      <c r="B812" s="17">
        <v>5.0</v>
      </c>
      <c r="C812" s="17">
        <v>14.0</v>
      </c>
      <c r="D812" s="17" t="s">
        <v>73</v>
      </c>
      <c r="E812" s="17">
        <v>10.4</v>
      </c>
      <c r="F812" s="18"/>
      <c r="G812" s="17"/>
      <c r="H812" s="17">
        <v>8.25</v>
      </c>
      <c r="I812" s="17">
        <v>0.006</v>
      </c>
      <c r="J812" s="17">
        <v>11.1</v>
      </c>
      <c r="K812" s="17">
        <v>30.47</v>
      </c>
      <c r="L812" s="17">
        <v>18.0</v>
      </c>
      <c r="M812" s="17">
        <v>16.0</v>
      </c>
      <c r="N812" s="27"/>
      <c r="O812" s="30">
        <v>2.0</v>
      </c>
      <c r="P812" s="30"/>
      <c r="Q812" s="27"/>
      <c r="R812" s="27"/>
      <c r="S812" s="28"/>
      <c r="T812" s="29"/>
      <c r="U812" s="29"/>
      <c r="V812" s="24"/>
      <c r="W812" s="24"/>
    </row>
    <row r="813">
      <c r="A813" s="11">
        <v>45738.0</v>
      </c>
      <c r="B813" s="25"/>
      <c r="C813" s="25"/>
      <c r="D813" s="17" t="s">
        <v>79</v>
      </c>
      <c r="E813" s="17">
        <v>14.0</v>
      </c>
      <c r="F813" s="18"/>
      <c r="G813" s="17"/>
      <c r="H813" s="17">
        <v>8.24</v>
      </c>
      <c r="I813" s="17">
        <v>0.002</v>
      </c>
      <c r="J813" s="17">
        <v>10.3</v>
      </c>
      <c r="K813" s="17">
        <v>23.96</v>
      </c>
      <c r="L813" s="25"/>
      <c r="M813" s="25"/>
      <c r="N813" s="27"/>
      <c r="O813" s="27"/>
      <c r="P813" s="27"/>
      <c r="Q813" s="27"/>
      <c r="R813" s="27"/>
      <c r="S813" s="28"/>
      <c r="T813" s="29"/>
      <c r="U813" s="29"/>
      <c r="V813" s="24"/>
      <c r="W813" s="24"/>
    </row>
    <row r="814">
      <c r="A814" s="11">
        <v>45739.0</v>
      </c>
      <c r="B814" s="25"/>
      <c r="C814" s="25"/>
      <c r="D814" s="25"/>
      <c r="E814" s="25"/>
      <c r="F814" s="26"/>
      <c r="G814" s="25"/>
      <c r="H814" s="25"/>
      <c r="I814" s="25"/>
      <c r="J814" s="25"/>
      <c r="K814" s="25"/>
      <c r="L814" s="25"/>
      <c r="M814" s="25"/>
      <c r="N814" s="27"/>
      <c r="O814" s="27"/>
      <c r="P814" s="27"/>
      <c r="Q814" s="27"/>
      <c r="R814" s="27"/>
      <c r="S814" s="28"/>
      <c r="T814" s="29"/>
      <c r="U814" s="29"/>
      <c r="V814" s="24"/>
      <c r="W814" s="24"/>
    </row>
    <row r="815">
      <c r="A815" s="11">
        <v>45740.0</v>
      </c>
      <c r="B815" s="17">
        <v>9.0</v>
      </c>
      <c r="C815" s="17">
        <v>18.0</v>
      </c>
      <c r="D815" s="17" t="s">
        <v>73</v>
      </c>
      <c r="E815" s="17">
        <v>12.5</v>
      </c>
      <c r="F815" s="18"/>
      <c r="G815" s="17"/>
      <c r="H815" s="17">
        <v>8.21</v>
      </c>
      <c r="I815" s="17">
        <v>0.002</v>
      </c>
      <c r="J815" s="17">
        <v>10.7</v>
      </c>
      <c r="K815" s="17">
        <v>28.82</v>
      </c>
      <c r="L815" s="17">
        <v>16.0</v>
      </c>
      <c r="M815" s="17">
        <v>19.0</v>
      </c>
      <c r="N815" s="27"/>
      <c r="O815" s="30">
        <v>2.0</v>
      </c>
      <c r="P815" s="30"/>
      <c r="Q815" s="27"/>
      <c r="R815" s="27"/>
      <c r="S815" s="28"/>
      <c r="T815" s="29"/>
      <c r="U815" s="29"/>
      <c r="V815" s="36">
        <v>250000.0</v>
      </c>
      <c r="W815" s="36">
        <v>170000.0</v>
      </c>
    </row>
    <row r="816">
      <c r="A816" s="11">
        <v>45741.0</v>
      </c>
      <c r="B816" s="17">
        <v>8.0</v>
      </c>
      <c r="C816" s="17">
        <v>16.0</v>
      </c>
      <c r="D816" s="17" t="s">
        <v>94</v>
      </c>
      <c r="E816" s="17">
        <v>13.9</v>
      </c>
      <c r="F816" s="18"/>
      <c r="G816" s="17"/>
      <c r="H816" s="17">
        <v>8.26</v>
      </c>
      <c r="I816" s="17">
        <v>0.002</v>
      </c>
      <c r="J816" s="17">
        <v>10.3</v>
      </c>
      <c r="K816" s="17">
        <v>23.6</v>
      </c>
      <c r="L816" s="17">
        <v>16.0</v>
      </c>
      <c r="M816" s="17">
        <v>15.0</v>
      </c>
      <c r="N816" s="27"/>
      <c r="O816" s="30">
        <v>1.0</v>
      </c>
      <c r="P816" s="30"/>
      <c r="Q816" s="27"/>
      <c r="R816" s="27"/>
      <c r="S816" s="28"/>
      <c r="T816" s="29"/>
      <c r="U816" s="29"/>
      <c r="V816" s="24"/>
      <c r="W816" s="24"/>
    </row>
    <row r="817">
      <c r="A817" s="11">
        <v>45742.0</v>
      </c>
      <c r="B817" s="17">
        <v>6.0</v>
      </c>
      <c r="C817" s="17">
        <v>18.0</v>
      </c>
      <c r="D817" s="17" t="s">
        <v>73</v>
      </c>
      <c r="E817" s="17">
        <v>14.3</v>
      </c>
      <c r="F817" s="18"/>
      <c r="G817" s="17"/>
      <c r="H817" s="17">
        <v>8.45</v>
      </c>
      <c r="I817" s="17">
        <v>0.002</v>
      </c>
      <c r="J817" s="17">
        <v>10.2</v>
      </c>
      <c r="K817" s="17">
        <v>14.82</v>
      </c>
      <c r="L817" s="17">
        <v>16.0</v>
      </c>
      <c r="M817" s="17">
        <v>2.0</v>
      </c>
      <c r="N817" s="27"/>
      <c r="O817" s="30">
        <v>3.0</v>
      </c>
      <c r="P817" s="30"/>
      <c r="Q817" s="27"/>
      <c r="R817" s="27"/>
      <c r="S817" s="28"/>
      <c r="T817" s="29"/>
      <c r="U817" s="29"/>
      <c r="V817" s="36">
        <v>260000.0</v>
      </c>
      <c r="W817" s="36">
        <v>150000.0</v>
      </c>
    </row>
    <row r="818">
      <c r="A818" s="11">
        <v>45743.0</v>
      </c>
      <c r="B818" s="17">
        <v>10.0</v>
      </c>
      <c r="C818" s="17">
        <v>17.0</v>
      </c>
      <c r="D818" s="17" t="s">
        <v>80</v>
      </c>
      <c r="E818" s="17">
        <v>14.2</v>
      </c>
      <c r="F818" s="18"/>
      <c r="G818" s="17"/>
      <c r="H818" s="17">
        <v>8.49</v>
      </c>
      <c r="I818" s="17">
        <v>0.002</v>
      </c>
      <c r="J818" s="17">
        <v>10.3</v>
      </c>
      <c r="K818" s="17">
        <v>13.98</v>
      </c>
      <c r="L818" s="17">
        <v>16.0</v>
      </c>
      <c r="M818" s="17">
        <v>20.0</v>
      </c>
      <c r="N818" s="27"/>
      <c r="O818" s="27"/>
      <c r="P818" s="27"/>
      <c r="Q818" s="27"/>
      <c r="R818" s="27"/>
      <c r="S818" s="28"/>
      <c r="T818" s="29"/>
      <c r="U818" s="29"/>
      <c r="V818" s="36">
        <v>250000.0</v>
      </c>
      <c r="W818" s="36">
        <v>150000.0</v>
      </c>
    </row>
    <row r="819">
      <c r="A819" s="11">
        <v>45744.0</v>
      </c>
      <c r="B819" s="17">
        <v>9.0</v>
      </c>
      <c r="C819" s="17">
        <v>14.0</v>
      </c>
      <c r="D819" s="17" t="s">
        <v>79</v>
      </c>
      <c r="E819" s="17">
        <v>13.2</v>
      </c>
      <c r="F819" s="18"/>
      <c r="G819" s="17"/>
      <c r="H819" s="17">
        <v>8.61</v>
      </c>
      <c r="I819" s="17">
        <v>0.002</v>
      </c>
      <c r="J819" s="17">
        <v>10.5</v>
      </c>
      <c r="K819" s="17">
        <v>11.64</v>
      </c>
      <c r="L819" s="17">
        <v>19.0</v>
      </c>
      <c r="M819" s="17">
        <v>21.0</v>
      </c>
      <c r="N819" s="27"/>
      <c r="O819" s="30">
        <v>3.0</v>
      </c>
      <c r="P819" s="30"/>
      <c r="Q819" s="27"/>
      <c r="R819" s="27"/>
      <c r="S819" s="28"/>
      <c r="T819" s="29"/>
      <c r="U819" s="29"/>
      <c r="V819" s="24"/>
      <c r="W819" s="24"/>
    </row>
    <row r="820">
      <c r="A820" s="11">
        <v>45745.0</v>
      </c>
      <c r="B820" s="25"/>
      <c r="C820" s="25"/>
      <c r="D820" s="25"/>
      <c r="E820" s="25"/>
      <c r="F820" s="26"/>
      <c r="G820" s="25"/>
      <c r="H820" s="25"/>
      <c r="I820" s="25"/>
      <c r="J820" s="25"/>
      <c r="K820" s="25"/>
      <c r="L820" s="25"/>
      <c r="M820" s="25"/>
      <c r="N820" s="27"/>
      <c r="O820" s="30">
        <v>5.0</v>
      </c>
      <c r="P820" s="30"/>
      <c r="Q820" s="27"/>
      <c r="R820" s="27"/>
      <c r="S820" s="28"/>
      <c r="T820" s="29"/>
      <c r="U820" s="29"/>
      <c r="V820" s="24"/>
      <c r="W820" s="24"/>
    </row>
    <row r="821">
      <c r="A821" s="11">
        <v>45746.0</v>
      </c>
      <c r="B821" s="17">
        <v>9.0</v>
      </c>
      <c r="C821" s="17">
        <v>18.0</v>
      </c>
      <c r="D821" s="17" t="s">
        <v>73</v>
      </c>
      <c r="E821" s="17">
        <v>14.0</v>
      </c>
      <c r="F821" s="18"/>
      <c r="G821" s="25"/>
      <c r="H821" s="25"/>
      <c r="I821" s="25"/>
      <c r="J821" s="25"/>
      <c r="K821" s="25"/>
      <c r="L821" s="17">
        <v>21.0</v>
      </c>
      <c r="M821" s="17">
        <v>25.0</v>
      </c>
      <c r="N821" s="27"/>
      <c r="O821" s="27"/>
      <c r="P821" s="27"/>
      <c r="Q821" s="27"/>
      <c r="R821" s="27"/>
      <c r="S821" s="28"/>
      <c r="T821" s="29"/>
      <c r="U821" s="29"/>
      <c r="V821" s="24"/>
      <c r="W821" s="24"/>
    </row>
    <row r="822">
      <c r="A822" s="11">
        <v>45747.0</v>
      </c>
      <c r="B822" s="17">
        <v>9.0</v>
      </c>
      <c r="C822" s="17">
        <v>17.0</v>
      </c>
      <c r="D822" s="17" t="s">
        <v>73</v>
      </c>
      <c r="E822" s="17">
        <v>15.0</v>
      </c>
      <c r="F822" s="18"/>
      <c r="G822" s="25"/>
      <c r="H822" s="25"/>
      <c r="I822" s="25"/>
      <c r="J822" s="25"/>
      <c r="K822" s="25"/>
      <c r="L822" s="17">
        <v>22.0</v>
      </c>
      <c r="M822" s="17">
        <v>20.0</v>
      </c>
      <c r="N822" s="27"/>
      <c r="O822" s="30">
        <v>2.0</v>
      </c>
      <c r="P822" s="30"/>
      <c r="Q822" s="27"/>
      <c r="R822" s="27"/>
      <c r="S822" s="28"/>
      <c r="T822" s="29"/>
      <c r="U822" s="29"/>
      <c r="V822" s="36">
        <v>360000.0</v>
      </c>
      <c r="W822" s="36">
        <v>190000.0</v>
      </c>
    </row>
    <row r="823">
      <c r="A823" s="11">
        <v>45748.0</v>
      </c>
      <c r="B823" s="17">
        <v>8.0</v>
      </c>
      <c r="C823" s="17">
        <v>16.0</v>
      </c>
      <c r="D823" s="17" t="s">
        <v>73</v>
      </c>
      <c r="E823" s="17">
        <v>13.5</v>
      </c>
      <c r="F823" s="18"/>
      <c r="G823" s="17"/>
      <c r="H823" s="17">
        <v>8.53</v>
      </c>
      <c r="I823" s="17">
        <v>0.002</v>
      </c>
      <c r="J823" s="17">
        <v>10.4</v>
      </c>
      <c r="K823" s="17">
        <v>13.86</v>
      </c>
      <c r="L823" s="17">
        <v>20.0</v>
      </c>
      <c r="M823" s="17">
        <v>21.0</v>
      </c>
      <c r="N823" s="27"/>
      <c r="O823" s="27"/>
      <c r="P823" s="27"/>
      <c r="Q823" s="27"/>
      <c r="R823" s="27"/>
      <c r="S823" s="28"/>
      <c r="T823" s="29"/>
      <c r="U823" s="29"/>
      <c r="V823" s="36">
        <v>300000.0</v>
      </c>
      <c r="W823" s="24"/>
    </row>
    <row r="824">
      <c r="A824" s="11">
        <v>45749.0</v>
      </c>
      <c r="B824" s="17">
        <v>10.0</v>
      </c>
      <c r="C824" s="17">
        <v>17.0</v>
      </c>
      <c r="D824" s="17" t="s">
        <v>73</v>
      </c>
      <c r="E824" s="17">
        <v>14.0</v>
      </c>
      <c r="F824" s="18"/>
      <c r="G824" s="25"/>
      <c r="H824" s="25"/>
      <c r="I824" s="25"/>
      <c r="J824" s="25"/>
      <c r="K824" s="25"/>
      <c r="L824" s="17">
        <v>20.0</v>
      </c>
      <c r="M824" s="17">
        <v>19.0</v>
      </c>
      <c r="N824" s="27"/>
      <c r="O824" s="27"/>
      <c r="P824" s="27"/>
      <c r="Q824" s="27"/>
      <c r="R824" s="27"/>
      <c r="S824" s="28"/>
      <c r="T824" s="29"/>
      <c r="U824" s="29"/>
      <c r="V824" s="36">
        <v>280000.0</v>
      </c>
      <c r="W824" s="36">
        <v>170000.0</v>
      </c>
    </row>
    <row r="825">
      <c r="A825" s="11">
        <v>45750.0</v>
      </c>
      <c r="B825" s="17">
        <v>6.0</v>
      </c>
      <c r="C825" s="17">
        <v>18.0</v>
      </c>
      <c r="D825" s="17" t="s">
        <v>64</v>
      </c>
      <c r="E825" s="17">
        <v>15.0</v>
      </c>
      <c r="F825" s="18"/>
      <c r="G825" s="25"/>
      <c r="H825" s="25"/>
      <c r="I825" s="25"/>
      <c r="J825" s="25"/>
      <c r="K825" s="25"/>
      <c r="L825" s="17">
        <v>20.0</v>
      </c>
      <c r="M825" s="17">
        <v>19.0</v>
      </c>
      <c r="N825" s="27"/>
      <c r="O825" s="30">
        <v>2.0</v>
      </c>
      <c r="P825" s="30"/>
      <c r="Q825" s="27"/>
      <c r="R825" s="27"/>
      <c r="S825" s="31">
        <v>15.3</v>
      </c>
      <c r="T825" s="32" t="s">
        <v>41</v>
      </c>
      <c r="U825" s="32"/>
      <c r="V825" s="36">
        <v>320000.0</v>
      </c>
      <c r="W825" s="36">
        <v>170000.0</v>
      </c>
    </row>
    <row r="826">
      <c r="A826" s="11">
        <v>45751.0</v>
      </c>
      <c r="B826" s="17">
        <v>7.0</v>
      </c>
      <c r="C826" s="17">
        <v>19.0</v>
      </c>
      <c r="D826" s="17" t="s">
        <v>64</v>
      </c>
      <c r="E826" s="17">
        <v>16.0</v>
      </c>
      <c r="F826" s="18"/>
      <c r="G826" s="25"/>
      <c r="H826" s="25"/>
      <c r="I826" s="25"/>
      <c r="J826" s="25"/>
      <c r="K826" s="25"/>
      <c r="L826" s="17">
        <v>19.0</v>
      </c>
      <c r="M826" s="17">
        <v>16.0</v>
      </c>
      <c r="N826" s="27"/>
      <c r="O826" s="30">
        <v>3.0</v>
      </c>
      <c r="P826" s="30"/>
      <c r="Q826" s="27"/>
      <c r="R826" s="27"/>
      <c r="S826" s="28"/>
      <c r="T826" s="29"/>
      <c r="U826" s="29"/>
      <c r="V826" s="36">
        <v>350000.0</v>
      </c>
      <c r="W826" s="36">
        <v>190000.0</v>
      </c>
    </row>
    <row r="827">
      <c r="A827" s="11">
        <v>45752.0</v>
      </c>
      <c r="B827" s="17">
        <v>7.0</v>
      </c>
      <c r="C827" s="17">
        <v>20.0</v>
      </c>
      <c r="D827" s="17" t="s">
        <v>64</v>
      </c>
      <c r="E827" s="17">
        <v>15.4</v>
      </c>
      <c r="F827" s="18"/>
      <c r="G827" s="17"/>
      <c r="H827" s="17">
        <v>8.62</v>
      </c>
      <c r="I827" s="17">
        <v>0.008</v>
      </c>
      <c r="J827" s="17">
        <v>10.0</v>
      </c>
      <c r="K827" s="17">
        <v>9.6</v>
      </c>
      <c r="L827" s="25"/>
      <c r="M827" s="25"/>
      <c r="N827" s="27"/>
      <c r="O827" s="30">
        <v>2.0</v>
      </c>
      <c r="P827" s="30"/>
      <c r="Q827" s="27"/>
      <c r="R827" s="27"/>
      <c r="S827" s="28"/>
      <c r="T827" s="29"/>
      <c r="U827" s="29"/>
      <c r="V827" s="24"/>
      <c r="W827" s="24"/>
    </row>
    <row r="828">
      <c r="A828" s="11">
        <v>45753.0</v>
      </c>
      <c r="B828" s="25"/>
      <c r="C828" s="25"/>
      <c r="D828" s="25"/>
      <c r="E828" s="25"/>
      <c r="F828" s="26"/>
      <c r="G828" s="25"/>
      <c r="H828" s="25"/>
      <c r="I828" s="25"/>
      <c r="J828" s="25"/>
      <c r="K828" s="25"/>
      <c r="L828" s="25"/>
      <c r="M828" s="25"/>
      <c r="N828" s="27"/>
      <c r="O828" s="27"/>
      <c r="P828" s="27"/>
      <c r="Q828" s="27"/>
      <c r="R828" s="27"/>
      <c r="S828" s="28"/>
      <c r="T828" s="29"/>
      <c r="U828" s="29"/>
      <c r="V828" s="24"/>
      <c r="W828" s="24"/>
    </row>
    <row r="829">
      <c r="A829" s="11">
        <v>45754.0</v>
      </c>
      <c r="B829" s="17">
        <v>6.0</v>
      </c>
      <c r="C829" s="17">
        <v>11.0</v>
      </c>
      <c r="D829" s="17" t="s">
        <v>64</v>
      </c>
      <c r="E829" s="17">
        <v>12.9</v>
      </c>
      <c r="F829" s="18"/>
      <c r="G829" s="17"/>
      <c r="H829" s="17">
        <v>8.87</v>
      </c>
      <c r="I829" s="17">
        <v>0.006</v>
      </c>
      <c r="J829" s="17">
        <v>10.6</v>
      </c>
      <c r="K829" s="25"/>
      <c r="L829" s="17">
        <v>16.0</v>
      </c>
      <c r="M829" s="17">
        <v>20.0</v>
      </c>
      <c r="N829" s="27"/>
      <c r="O829" s="30">
        <v>2.0</v>
      </c>
      <c r="P829" s="30"/>
      <c r="Q829" s="27"/>
      <c r="R829" s="27"/>
      <c r="S829" s="28"/>
      <c r="T829" s="29"/>
      <c r="U829" s="29"/>
      <c r="V829" s="36">
        <v>550000.0</v>
      </c>
      <c r="W829" s="36">
        <v>350000.0</v>
      </c>
    </row>
    <row r="830">
      <c r="A830" s="11">
        <v>45755.0</v>
      </c>
      <c r="B830" s="17">
        <v>6.0</v>
      </c>
      <c r="C830" s="17">
        <v>14.0</v>
      </c>
      <c r="D830" s="17" t="s">
        <v>64</v>
      </c>
      <c r="E830" s="17">
        <v>12.4</v>
      </c>
      <c r="F830" s="18"/>
      <c r="G830" s="17"/>
      <c r="H830" s="17">
        <v>8.67</v>
      </c>
      <c r="I830" s="17">
        <v>0.006</v>
      </c>
      <c r="J830" s="17">
        <v>10.7</v>
      </c>
      <c r="K830" s="17">
        <v>10.63</v>
      </c>
      <c r="L830" s="17">
        <v>16.0</v>
      </c>
      <c r="M830" s="17">
        <v>19.0</v>
      </c>
      <c r="N830" s="27"/>
      <c r="O830" s="30">
        <v>2.0</v>
      </c>
      <c r="P830" s="30"/>
      <c r="Q830" s="27"/>
      <c r="R830" s="27"/>
      <c r="S830" s="28"/>
      <c r="T830" s="29"/>
      <c r="U830" s="29"/>
      <c r="V830" s="36">
        <v>480000.0</v>
      </c>
      <c r="W830" s="36">
        <v>280000.0</v>
      </c>
    </row>
    <row r="831">
      <c r="A831" s="11">
        <v>45756.0</v>
      </c>
      <c r="B831" s="17">
        <v>4.0</v>
      </c>
      <c r="C831" s="17">
        <v>15.0</v>
      </c>
      <c r="D831" s="17" t="s">
        <v>64</v>
      </c>
      <c r="E831" s="17">
        <v>9.4</v>
      </c>
      <c r="F831" s="18"/>
      <c r="G831" s="17"/>
      <c r="H831" s="17">
        <v>8.56</v>
      </c>
      <c r="I831" s="17">
        <v>0.002</v>
      </c>
      <c r="J831" s="17">
        <v>11.5</v>
      </c>
      <c r="K831" s="17">
        <v>16.52</v>
      </c>
      <c r="L831" s="17">
        <v>16.0</v>
      </c>
      <c r="M831" s="17">
        <v>16.0</v>
      </c>
      <c r="N831" s="27"/>
      <c r="O831" s="30">
        <v>7.0</v>
      </c>
      <c r="P831" s="30"/>
      <c r="Q831" s="27"/>
      <c r="R831" s="27"/>
      <c r="S831" s="28"/>
      <c r="T831" s="29"/>
      <c r="U831" s="29"/>
      <c r="V831" s="24"/>
      <c r="W831" s="24"/>
    </row>
    <row r="832">
      <c r="A832" s="11">
        <v>45757.0</v>
      </c>
      <c r="B832" s="17">
        <v>6.0</v>
      </c>
      <c r="C832" s="17">
        <v>17.0</v>
      </c>
      <c r="D832" s="17" t="s">
        <v>64</v>
      </c>
      <c r="E832" s="17">
        <v>14.5</v>
      </c>
      <c r="F832" s="18"/>
      <c r="G832" s="17"/>
      <c r="H832" s="17">
        <v>8.79</v>
      </c>
      <c r="I832" s="17">
        <v>0.004</v>
      </c>
      <c r="J832" s="17">
        <v>10.2</v>
      </c>
      <c r="K832" s="17">
        <v>7.37</v>
      </c>
      <c r="L832" s="17">
        <v>17.0</v>
      </c>
      <c r="M832" s="17">
        <v>19.0</v>
      </c>
      <c r="N832" s="27"/>
      <c r="O832" s="27"/>
      <c r="P832" s="27"/>
      <c r="Q832" s="27"/>
      <c r="R832" s="27"/>
      <c r="S832" s="28"/>
      <c r="T832" s="29"/>
      <c r="U832" s="29"/>
      <c r="V832" s="36">
        <v>550000.0</v>
      </c>
      <c r="W832" s="36">
        <v>360000.0</v>
      </c>
    </row>
    <row r="833">
      <c r="A833" s="11">
        <v>45758.0</v>
      </c>
      <c r="B833" s="17">
        <v>6.0</v>
      </c>
      <c r="C833" s="17">
        <v>20.0</v>
      </c>
      <c r="D833" s="17" t="s">
        <v>69</v>
      </c>
      <c r="E833" s="17">
        <v>15.5</v>
      </c>
      <c r="F833" s="18"/>
      <c r="G833" s="17"/>
      <c r="H833" s="17">
        <v>8.54</v>
      </c>
      <c r="I833" s="17">
        <v>0.003</v>
      </c>
      <c r="J833" s="17">
        <v>10.0</v>
      </c>
      <c r="K833" s="17">
        <v>1135.0</v>
      </c>
      <c r="L833" s="17">
        <v>20.0</v>
      </c>
      <c r="M833" s="17">
        <v>21.0</v>
      </c>
      <c r="N833" s="27"/>
      <c r="O833" s="27"/>
      <c r="P833" s="27"/>
      <c r="Q833" s="27"/>
      <c r="R833" s="27"/>
      <c r="S833" s="28"/>
      <c r="T833" s="29"/>
      <c r="U833" s="29"/>
      <c r="V833" s="36">
        <v>500000.0</v>
      </c>
      <c r="W833" s="36">
        <v>350000.0</v>
      </c>
    </row>
    <row r="834">
      <c r="A834" s="11">
        <v>45759.0</v>
      </c>
      <c r="B834" s="25"/>
      <c r="C834" s="25"/>
      <c r="D834" s="25"/>
      <c r="E834" s="25"/>
      <c r="F834" s="26"/>
      <c r="G834" s="25"/>
      <c r="H834" s="25"/>
      <c r="I834" s="25"/>
      <c r="J834" s="25"/>
      <c r="K834" s="25"/>
      <c r="L834" s="25"/>
      <c r="M834" s="25"/>
      <c r="N834" s="27"/>
      <c r="O834" s="27"/>
      <c r="P834" s="27"/>
      <c r="Q834" s="27"/>
      <c r="R834" s="27"/>
      <c r="S834" s="28"/>
      <c r="T834" s="29"/>
      <c r="U834" s="29"/>
      <c r="V834" s="24"/>
      <c r="W834" s="24"/>
    </row>
    <row r="835">
      <c r="A835" s="11">
        <v>45760.0</v>
      </c>
      <c r="B835" s="17">
        <v>12.0</v>
      </c>
      <c r="C835" s="17">
        <v>17.0</v>
      </c>
      <c r="D835" s="17" t="s">
        <v>62</v>
      </c>
      <c r="E835" s="17">
        <v>16.4</v>
      </c>
      <c r="F835" s="26"/>
      <c r="G835" s="17"/>
      <c r="H835" s="17">
        <v>8.49</v>
      </c>
      <c r="I835" s="17">
        <v>0.005</v>
      </c>
      <c r="J835" s="17">
        <v>9.8</v>
      </c>
      <c r="K835" s="17">
        <v>12.09</v>
      </c>
      <c r="L835" s="25"/>
      <c r="M835" s="25"/>
      <c r="N835" s="27"/>
      <c r="O835" s="27"/>
      <c r="P835" s="27"/>
      <c r="Q835" s="27"/>
      <c r="R835" s="27"/>
      <c r="S835" s="28"/>
      <c r="T835" s="29"/>
      <c r="U835" s="29"/>
      <c r="V835" s="24"/>
      <c r="W835" s="24"/>
    </row>
    <row r="836">
      <c r="A836" s="11">
        <v>45761.0</v>
      </c>
      <c r="B836" s="17">
        <v>12.0</v>
      </c>
      <c r="C836" s="17">
        <v>16.0</v>
      </c>
      <c r="D836" s="17" t="s">
        <v>79</v>
      </c>
      <c r="E836" s="17">
        <v>15.8</v>
      </c>
      <c r="F836" s="18"/>
      <c r="G836" s="17"/>
      <c r="H836" s="17">
        <v>8.51</v>
      </c>
      <c r="I836" s="17">
        <v>0.004</v>
      </c>
      <c r="J836" s="17">
        <v>9.9</v>
      </c>
      <c r="K836" s="17">
        <v>11.87</v>
      </c>
      <c r="L836" s="17">
        <v>15.0</v>
      </c>
      <c r="M836" s="17">
        <v>20.0</v>
      </c>
      <c r="N836" s="27"/>
      <c r="O836" s="27"/>
      <c r="P836" s="27"/>
      <c r="Q836" s="27"/>
      <c r="R836" s="27"/>
      <c r="S836" s="28"/>
      <c r="T836" s="29"/>
      <c r="U836" s="29"/>
      <c r="V836" s="36">
        <v>450000.0</v>
      </c>
      <c r="W836" s="36">
        <v>230000.0</v>
      </c>
    </row>
    <row r="837">
      <c r="A837" s="11">
        <v>45762.0</v>
      </c>
      <c r="B837" s="17">
        <v>13.0</v>
      </c>
      <c r="C837" s="17">
        <v>19.0</v>
      </c>
      <c r="D837" s="17" t="s">
        <v>79</v>
      </c>
      <c r="E837" s="17">
        <v>14.9</v>
      </c>
      <c r="F837" s="18"/>
      <c r="G837" s="17"/>
      <c r="H837" s="17">
        <v>8.18</v>
      </c>
      <c r="I837" s="17">
        <v>0.002</v>
      </c>
      <c r="J837" s="17">
        <v>10.1</v>
      </c>
      <c r="K837" s="17">
        <v>25.68</v>
      </c>
      <c r="L837" s="17">
        <v>18.0</v>
      </c>
      <c r="M837" s="17">
        <v>20.0</v>
      </c>
      <c r="N837" s="27"/>
      <c r="O837" s="27"/>
      <c r="P837" s="27"/>
      <c r="Q837" s="27"/>
      <c r="R837" s="27"/>
      <c r="S837" s="28"/>
      <c r="T837" s="29"/>
      <c r="U837" s="29"/>
      <c r="V837" s="36">
        <v>400000.0</v>
      </c>
      <c r="W837" s="36">
        <v>250000.0</v>
      </c>
    </row>
    <row r="838">
      <c r="A838" s="11">
        <v>45763.0</v>
      </c>
      <c r="B838" s="17">
        <v>13.0</v>
      </c>
      <c r="C838" s="17">
        <v>17.0</v>
      </c>
      <c r="D838" s="17" t="s">
        <v>62</v>
      </c>
      <c r="E838" s="17">
        <v>16.0</v>
      </c>
      <c r="F838" s="18"/>
      <c r="G838" s="17"/>
      <c r="H838" s="17">
        <v>8.61</v>
      </c>
      <c r="I838" s="17">
        <v>0.002</v>
      </c>
      <c r="J838" s="17">
        <v>9.9</v>
      </c>
      <c r="K838" s="17">
        <v>9.52</v>
      </c>
      <c r="L838" s="17">
        <v>18.0</v>
      </c>
      <c r="M838" s="17">
        <v>20.0</v>
      </c>
      <c r="N838" s="27"/>
      <c r="O838" s="30">
        <v>1.0</v>
      </c>
      <c r="P838" s="30"/>
      <c r="Q838" s="27"/>
      <c r="R838" s="27"/>
      <c r="S838" s="28"/>
      <c r="T838" s="29"/>
      <c r="U838" s="29"/>
      <c r="V838" s="24"/>
      <c r="W838" s="24"/>
    </row>
    <row r="839">
      <c r="A839" s="11">
        <v>45764.0</v>
      </c>
      <c r="B839" s="17">
        <v>12.0</v>
      </c>
      <c r="C839" s="17">
        <v>18.0</v>
      </c>
      <c r="D839" s="17" t="s">
        <v>62</v>
      </c>
      <c r="E839" s="17">
        <v>15.1</v>
      </c>
      <c r="F839" s="18"/>
      <c r="G839" s="17"/>
      <c r="H839" s="17">
        <v>8.09</v>
      </c>
      <c r="I839" s="17">
        <v>0.002</v>
      </c>
      <c r="J839" s="17">
        <v>10.1</v>
      </c>
      <c r="K839" s="17">
        <v>31.25</v>
      </c>
      <c r="L839" s="17">
        <v>18.0</v>
      </c>
      <c r="M839" s="17">
        <v>19.0</v>
      </c>
      <c r="N839" s="27"/>
      <c r="O839" s="27"/>
      <c r="P839" s="27"/>
      <c r="Q839" s="27"/>
      <c r="R839" s="27"/>
      <c r="S839" s="28"/>
      <c r="T839" s="29"/>
      <c r="U839" s="29"/>
      <c r="V839" s="24"/>
      <c r="W839" s="24"/>
    </row>
    <row r="840">
      <c r="A840" s="11">
        <v>45765.0</v>
      </c>
      <c r="B840" s="17">
        <v>11.0</v>
      </c>
      <c r="C840" s="17">
        <v>17.0</v>
      </c>
      <c r="D840" s="17" t="s">
        <v>62</v>
      </c>
      <c r="E840" s="17">
        <v>15.0</v>
      </c>
      <c r="F840" s="18"/>
      <c r="G840" s="17"/>
      <c r="H840" s="17">
        <v>8.06</v>
      </c>
      <c r="I840" s="17">
        <v>0.002</v>
      </c>
      <c r="J840" s="17">
        <v>10.1</v>
      </c>
      <c r="K840" s="17">
        <v>33.35</v>
      </c>
      <c r="L840" s="17">
        <v>18.0</v>
      </c>
      <c r="M840" s="17">
        <v>15.0</v>
      </c>
      <c r="N840" s="27"/>
      <c r="O840" s="30">
        <v>2.0</v>
      </c>
      <c r="P840" s="30"/>
      <c r="Q840" s="27"/>
      <c r="R840" s="27"/>
      <c r="S840" s="28"/>
      <c r="T840" s="29"/>
      <c r="U840" s="29"/>
      <c r="V840" s="24"/>
      <c r="W840" s="24"/>
    </row>
    <row r="841">
      <c r="A841" s="11">
        <v>45766.0</v>
      </c>
      <c r="B841" s="17">
        <v>11.0</v>
      </c>
      <c r="C841" s="17">
        <v>21.0</v>
      </c>
      <c r="D841" s="17" t="s">
        <v>64</v>
      </c>
      <c r="E841" s="17">
        <v>15.4</v>
      </c>
      <c r="F841" s="18"/>
      <c r="G841" s="17"/>
      <c r="H841" s="17">
        <v>8.0</v>
      </c>
      <c r="I841" s="17">
        <v>0.002</v>
      </c>
      <c r="J841" s="17">
        <v>10.0</v>
      </c>
      <c r="K841" s="17">
        <v>38.99</v>
      </c>
      <c r="L841" s="17">
        <v>15.0</v>
      </c>
      <c r="M841" s="17">
        <v>16.0</v>
      </c>
      <c r="N841" s="27"/>
      <c r="O841" s="27"/>
      <c r="P841" s="27"/>
      <c r="Q841" s="27"/>
      <c r="R841" s="27"/>
      <c r="S841" s="28"/>
      <c r="T841" s="29"/>
      <c r="U841" s="29"/>
      <c r="V841" s="24"/>
      <c r="W841" s="24"/>
    </row>
    <row r="842">
      <c r="A842" s="11">
        <v>45767.0</v>
      </c>
      <c r="B842" s="25"/>
      <c r="C842" s="25"/>
      <c r="D842" s="25"/>
      <c r="E842" s="25"/>
      <c r="F842" s="26"/>
      <c r="G842" s="25"/>
      <c r="H842" s="25"/>
      <c r="I842" s="25"/>
      <c r="J842" s="25"/>
      <c r="K842" s="25"/>
      <c r="L842" s="25"/>
      <c r="M842" s="25"/>
      <c r="N842" s="27"/>
      <c r="O842" s="27"/>
      <c r="P842" s="27"/>
      <c r="Q842" s="27"/>
      <c r="R842" s="27"/>
      <c r="S842" s="28"/>
      <c r="T842" s="29"/>
      <c r="U842" s="29"/>
      <c r="V842" s="24"/>
      <c r="W842" s="24"/>
    </row>
    <row r="843">
      <c r="A843" s="11">
        <v>45768.0</v>
      </c>
      <c r="B843" s="17">
        <v>12.0</v>
      </c>
      <c r="C843" s="17">
        <v>21.0</v>
      </c>
      <c r="D843" s="17" t="s">
        <v>64</v>
      </c>
      <c r="E843" s="17">
        <v>16.0</v>
      </c>
      <c r="F843" s="18"/>
      <c r="G843" s="17"/>
      <c r="H843" s="17">
        <v>8.09</v>
      </c>
      <c r="I843" s="17">
        <v>0.008</v>
      </c>
      <c r="J843" s="17">
        <v>9.9</v>
      </c>
      <c r="K843" s="17">
        <v>28.98</v>
      </c>
      <c r="L843" s="17">
        <v>16.0</v>
      </c>
      <c r="M843" s="17">
        <v>14.0</v>
      </c>
      <c r="N843" s="27"/>
      <c r="O843" s="27"/>
      <c r="P843" s="27"/>
      <c r="Q843" s="27"/>
      <c r="R843" s="27"/>
      <c r="S843" s="28"/>
      <c r="T843" s="29"/>
      <c r="U843" s="29"/>
      <c r="V843" s="24"/>
      <c r="W843" s="24"/>
    </row>
    <row r="844">
      <c r="A844" s="11">
        <v>45769.0</v>
      </c>
      <c r="B844" s="17">
        <v>11.0</v>
      </c>
      <c r="C844" s="17">
        <v>24.0</v>
      </c>
      <c r="D844" s="17" t="s">
        <v>73</v>
      </c>
      <c r="E844" s="17">
        <v>17.4</v>
      </c>
      <c r="F844" s="18"/>
      <c r="G844" s="17"/>
      <c r="H844" s="17">
        <v>8.03</v>
      </c>
      <c r="I844" s="17">
        <v>0.003</v>
      </c>
      <c r="J844" s="17">
        <v>9.6</v>
      </c>
      <c r="K844" s="17">
        <v>30.38</v>
      </c>
      <c r="L844" s="17">
        <v>16.0</v>
      </c>
      <c r="M844" s="17">
        <v>14.0</v>
      </c>
      <c r="N844" s="27"/>
      <c r="O844" s="30">
        <v>3.0</v>
      </c>
      <c r="P844" s="30"/>
      <c r="Q844" s="27"/>
      <c r="R844" s="27"/>
      <c r="S844" s="28"/>
      <c r="T844" s="29"/>
      <c r="U844" s="29"/>
      <c r="V844" s="24"/>
      <c r="W844" s="24"/>
    </row>
    <row r="845">
      <c r="A845" s="11">
        <v>45770.0</v>
      </c>
      <c r="B845" s="17">
        <v>12.0</v>
      </c>
      <c r="C845" s="17">
        <v>21.0</v>
      </c>
      <c r="D845" s="17" t="s">
        <v>73</v>
      </c>
      <c r="E845" s="17">
        <v>19.2</v>
      </c>
      <c r="F845" s="18"/>
      <c r="G845" s="17"/>
      <c r="H845" s="17">
        <v>8.77</v>
      </c>
      <c r="I845" s="17">
        <v>0.004</v>
      </c>
      <c r="J845" s="17">
        <v>9.2</v>
      </c>
      <c r="K845" s="17">
        <v>5.62</v>
      </c>
      <c r="L845" s="17">
        <v>15.0</v>
      </c>
      <c r="M845" s="17">
        <v>15.0</v>
      </c>
      <c r="N845" s="30">
        <v>2.0</v>
      </c>
      <c r="O845" s="30">
        <v>1.0</v>
      </c>
      <c r="P845" s="30"/>
      <c r="Q845" s="27"/>
      <c r="R845" s="27"/>
      <c r="S845" s="28"/>
      <c r="T845" s="29"/>
      <c r="U845" s="29"/>
      <c r="V845" s="24"/>
      <c r="W845" s="24"/>
    </row>
    <row r="846">
      <c r="A846" s="11">
        <v>45771.0</v>
      </c>
      <c r="B846" s="17">
        <v>11.0</v>
      </c>
      <c r="C846" s="17">
        <v>23.0</v>
      </c>
      <c r="D846" s="17" t="s">
        <v>73</v>
      </c>
      <c r="E846" s="17">
        <v>18.5</v>
      </c>
      <c r="F846" s="18"/>
      <c r="G846" s="17"/>
      <c r="H846" s="17">
        <v>8.32</v>
      </c>
      <c r="I846" s="17">
        <v>0.01</v>
      </c>
      <c r="J846" s="17">
        <v>9.4</v>
      </c>
      <c r="K846" s="17">
        <v>14.97</v>
      </c>
      <c r="L846" s="17">
        <v>17.0</v>
      </c>
      <c r="M846" s="17">
        <v>16.0</v>
      </c>
      <c r="N846" s="27"/>
      <c r="O846" s="30">
        <v>1.0</v>
      </c>
      <c r="P846" s="30"/>
      <c r="Q846" s="27"/>
      <c r="R846" s="27"/>
      <c r="S846" s="28"/>
      <c r="T846" s="29"/>
      <c r="U846" s="29"/>
      <c r="V846" s="24"/>
      <c r="W846" s="24"/>
    </row>
    <row r="847">
      <c r="A847" s="11">
        <v>45772.0</v>
      </c>
      <c r="B847" s="17">
        <v>10.0</v>
      </c>
      <c r="C847" s="17">
        <v>21.0</v>
      </c>
      <c r="D847" s="17" t="s">
        <v>62</v>
      </c>
      <c r="E847" s="17">
        <v>16.4</v>
      </c>
      <c r="F847" s="18"/>
      <c r="G847" s="17"/>
      <c r="H847" s="17">
        <v>7.96</v>
      </c>
      <c r="I847" s="17">
        <v>0.065</v>
      </c>
      <c r="J847" s="17">
        <v>9.8</v>
      </c>
      <c r="K847" s="17">
        <v>37.93</v>
      </c>
      <c r="L847" s="25"/>
      <c r="M847" s="17">
        <v>19.0</v>
      </c>
      <c r="N847" s="27"/>
      <c r="O847" s="27"/>
      <c r="P847" s="27"/>
      <c r="Q847" s="27"/>
      <c r="R847" s="27"/>
      <c r="S847" s="28"/>
      <c r="T847" s="29"/>
      <c r="U847" s="29"/>
      <c r="V847" s="24"/>
      <c r="W847" s="24"/>
    </row>
    <row r="848">
      <c r="A848" s="11">
        <v>45773.0</v>
      </c>
      <c r="B848" s="25"/>
      <c r="C848" s="25"/>
      <c r="D848" s="25"/>
      <c r="E848" s="25"/>
      <c r="F848" s="26"/>
      <c r="G848" s="25"/>
      <c r="H848" s="25"/>
      <c r="I848" s="25"/>
      <c r="J848" s="25"/>
      <c r="K848" s="25"/>
      <c r="L848" s="25"/>
      <c r="M848" s="25"/>
      <c r="N848" s="27"/>
      <c r="O848" s="27"/>
      <c r="P848" s="27"/>
      <c r="Q848" s="27"/>
      <c r="R848" s="27"/>
      <c r="S848" s="28"/>
      <c r="T848" s="29"/>
      <c r="U848" s="29"/>
      <c r="V848" s="24"/>
      <c r="W848" s="24"/>
    </row>
    <row r="849">
      <c r="A849" s="11">
        <v>45774.0</v>
      </c>
      <c r="B849" s="25"/>
      <c r="C849" s="25"/>
      <c r="D849" s="25"/>
      <c r="E849" s="25"/>
      <c r="F849" s="26"/>
      <c r="G849" s="25"/>
      <c r="H849" s="25"/>
      <c r="I849" s="25"/>
      <c r="J849" s="25"/>
      <c r="K849" s="25"/>
      <c r="L849" s="25"/>
      <c r="M849" s="25"/>
      <c r="N849" s="27"/>
      <c r="O849" s="27"/>
      <c r="P849" s="27"/>
      <c r="Q849" s="27"/>
      <c r="R849" s="27"/>
      <c r="S849" s="28"/>
      <c r="T849" s="29"/>
      <c r="U849" s="29"/>
      <c r="V849" s="24"/>
      <c r="W849" s="36">
        <v>210000.0</v>
      </c>
    </row>
    <row r="850">
      <c r="A850" s="11">
        <v>45775.0</v>
      </c>
      <c r="B850" s="17">
        <v>11.0</v>
      </c>
      <c r="C850" s="17">
        <v>23.0</v>
      </c>
      <c r="D850" s="17" t="s">
        <v>64</v>
      </c>
      <c r="E850" s="17">
        <v>17.9</v>
      </c>
      <c r="F850" s="18"/>
      <c r="G850" s="17"/>
      <c r="H850" s="17">
        <v>7.77</v>
      </c>
      <c r="I850" s="17">
        <v>0.178</v>
      </c>
      <c r="J850" s="17">
        <v>9.5</v>
      </c>
      <c r="K850" s="17">
        <v>52.82</v>
      </c>
      <c r="L850" s="17">
        <v>20.0</v>
      </c>
      <c r="M850" s="17">
        <v>19.0</v>
      </c>
      <c r="N850" s="30">
        <v>2.0</v>
      </c>
      <c r="O850" s="30">
        <v>2.0</v>
      </c>
      <c r="P850" s="30"/>
      <c r="Q850" s="27"/>
      <c r="R850" s="27"/>
      <c r="S850" s="28"/>
      <c r="T850" s="29"/>
      <c r="U850" s="29"/>
      <c r="V850" s="36">
        <v>300000.0</v>
      </c>
      <c r="W850" s="36">
        <v>240000.0</v>
      </c>
    </row>
    <row r="851">
      <c r="A851" s="11">
        <v>45776.0</v>
      </c>
      <c r="B851" s="17">
        <v>10.0</v>
      </c>
      <c r="C851" s="17">
        <v>24.0</v>
      </c>
      <c r="D851" s="17" t="s">
        <v>64</v>
      </c>
      <c r="E851" s="17">
        <v>19.0</v>
      </c>
      <c r="F851" s="18"/>
      <c r="G851" s="17"/>
      <c r="H851" s="17">
        <v>7.81</v>
      </c>
      <c r="I851" s="17">
        <v>0.271</v>
      </c>
      <c r="J851" s="17">
        <v>9.3</v>
      </c>
      <c r="K851" s="17">
        <v>44.6</v>
      </c>
      <c r="L851" s="17">
        <v>20.0</v>
      </c>
      <c r="M851" s="17">
        <v>16.0</v>
      </c>
      <c r="N851" s="27"/>
      <c r="O851" s="30">
        <v>2.0</v>
      </c>
      <c r="P851" s="30"/>
      <c r="Q851" s="27"/>
      <c r="R851" s="27"/>
      <c r="S851" s="28"/>
      <c r="T851" s="29"/>
      <c r="U851" s="29"/>
      <c r="V851" s="36">
        <v>410000.0</v>
      </c>
      <c r="W851" s="36">
        <v>290000.0</v>
      </c>
    </row>
    <row r="852">
      <c r="A852" s="11">
        <v>45777.0</v>
      </c>
      <c r="B852" s="17">
        <v>11.0</v>
      </c>
      <c r="C852" s="17">
        <v>24.0</v>
      </c>
      <c r="D852" s="17" t="s">
        <v>64</v>
      </c>
      <c r="E852" s="17">
        <v>19.5</v>
      </c>
      <c r="F852" s="18"/>
      <c r="G852" s="31"/>
      <c r="H852" s="31">
        <v>8.0</v>
      </c>
      <c r="I852" s="17">
        <v>0.249</v>
      </c>
      <c r="J852" s="17">
        <v>9.2</v>
      </c>
      <c r="K852" s="17">
        <v>33.13</v>
      </c>
      <c r="L852" s="17">
        <v>20.0</v>
      </c>
      <c r="M852" s="17">
        <v>19.0</v>
      </c>
      <c r="N852" s="27"/>
      <c r="O852" s="30">
        <v>3.0</v>
      </c>
      <c r="P852" s="30"/>
      <c r="Q852" s="27"/>
      <c r="R852" s="27"/>
      <c r="S852" s="28"/>
      <c r="T852" s="29"/>
      <c r="U852" s="29"/>
      <c r="V852" s="24"/>
      <c r="W852" s="24"/>
    </row>
    <row r="853">
      <c r="A853" s="11">
        <v>45778.0</v>
      </c>
      <c r="B853" s="25"/>
      <c r="C853" s="25"/>
      <c r="D853" s="25"/>
      <c r="E853" s="25"/>
      <c r="F853" s="26"/>
      <c r="G853" s="28"/>
      <c r="H853" s="28"/>
      <c r="I853" s="25"/>
      <c r="J853" s="25"/>
      <c r="K853" s="25"/>
      <c r="L853" s="25"/>
      <c r="M853" s="25"/>
      <c r="N853" s="30">
        <v>2.0</v>
      </c>
      <c r="O853" s="27"/>
      <c r="P853" s="27"/>
      <c r="Q853" s="27"/>
      <c r="R853" s="27"/>
      <c r="S853" s="28"/>
      <c r="T853" s="29"/>
      <c r="U853" s="29"/>
      <c r="V853" s="24"/>
      <c r="W853" s="24"/>
    </row>
    <row r="854">
      <c r="A854" s="11">
        <v>45779.0</v>
      </c>
      <c r="B854" s="17">
        <v>12.0</v>
      </c>
      <c r="C854" s="17">
        <v>26.0</v>
      </c>
      <c r="D854" s="17" t="s">
        <v>64</v>
      </c>
      <c r="E854" s="17">
        <v>20.8</v>
      </c>
      <c r="F854" s="18"/>
      <c r="G854" s="31"/>
      <c r="H854" s="31">
        <v>8.0</v>
      </c>
      <c r="I854" s="17">
        <v>0.249</v>
      </c>
      <c r="J854" s="17">
        <v>8.9</v>
      </c>
      <c r="K854" s="17">
        <v>33.13</v>
      </c>
      <c r="L854" s="17">
        <v>18.0</v>
      </c>
      <c r="M854" s="17">
        <v>16.0</v>
      </c>
      <c r="N854" s="27"/>
      <c r="O854" s="30">
        <v>9.0</v>
      </c>
      <c r="P854" s="30"/>
      <c r="Q854" s="27"/>
      <c r="R854" s="27"/>
      <c r="S854" s="28"/>
      <c r="T854" s="29"/>
      <c r="U854" s="29"/>
      <c r="V854" s="36">
        <v>370000.0</v>
      </c>
      <c r="W854" s="24"/>
    </row>
    <row r="855">
      <c r="A855" s="11">
        <v>45780.0</v>
      </c>
      <c r="B855" s="25"/>
      <c r="C855" s="25"/>
      <c r="D855" s="25"/>
      <c r="E855" s="25"/>
      <c r="F855" s="26"/>
      <c r="G855" s="28"/>
      <c r="H855" s="28"/>
      <c r="I855" s="25"/>
      <c r="J855" s="25"/>
      <c r="K855" s="25"/>
      <c r="L855" s="25"/>
      <c r="M855" s="25"/>
      <c r="N855" s="27"/>
      <c r="O855" s="27"/>
      <c r="P855" s="27"/>
      <c r="Q855" s="27"/>
      <c r="R855" s="27"/>
      <c r="S855" s="28"/>
      <c r="T855" s="29"/>
      <c r="U855" s="29"/>
      <c r="V855" s="24"/>
      <c r="W855" s="24"/>
    </row>
    <row r="856">
      <c r="A856" s="11">
        <v>45781.0</v>
      </c>
      <c r="B856" s="17">
        <v>14.0</v>
      </c>
      <c r="C856" s="17">
        <v>25.0</v>
      </c>
      <c r="D856" s="17" t="s">
        <v>64</v>
      </c>
      <c r="E856" s="17">
        <v>21.3</v>
      </c>
      <c r="F856" s="18"/>
      <c r="G856" s="31"/>
      <c r="H856" s="31">
        <v>8.0</v>
      </c>
      <c r="I856" s="17">
        <v>0.249</v>
      </c>
      <c r="J856" s="17">
        <v>8.8</v>
      </c>
      <c r="K856" s="17">
        <v>33.13</v>
      </c>
      <c r="L856" s="17">
        <v>16.0</v>
      </c>
      <c r="M856" s="17">
        <v>15.0</v>
      </c>
      <c r="N856" s="27"/>
      <c r="O856" s="27"/>
      <c r="P856" s="27"/>
      <c r="Q856" s="27"/>
      <c r="R856" s="27"/>
      <c r="S856" s="28"/>
      <c r="T856" s="29"/>
      <c r="U856" s="29"/>
      <c r="V856" s="24"/>
      <c r="W856" s="24"/>
    </row>
    <row r="857">
      <c r="A857" s="11">
        <v>45782.0</v>
      </c>
      <c r="B857" s="17">
        <v>16.0</v>
      </c>
      <c r="C857" s="17">
        <v>24.0</v>
      </c>
      <c r="D857" s="17" t="s">
        <v>73</v>
      </c>
      <c r="E857" s="17">
        <v>20.4</v>
      </c>
      <c r="F857" s="18"/>
      <c r="G857" s="31"/>
      <c r="H857" s="31">
        <v>8.0</v>
      </c>
      <c r="I857" s="17">
        <v>0.249</v>
      </c>
      <c r="J857" s="17">
        <v>9.0</v>
      </c>
      <c r="K857" s="17">
        <v>33.13</v>
      </c>
      <c r="L857" s="17">
        <v>16.0</v>
      </c>
      <c r="M857" s="17">
        <v>17.0</v>
      </c>
      <c r="N857" s="30">
        <v>6.0</v>
      </c>
      <c r="O857" s="30">
        <v>7.0</v>
      </c>
      <c r="P857" s="30">
        <v>2.0</v>
      </c>
      <c r="Q857" s="27"/>
      <c r="R857" s="27"/>
      <c r="S857" s="28"/>
      <c r="T857" s="29"/>
      <c r="U857" s="29"/>
      <c r="V857" s="24"/>
      <c r="W857" s="24"/>
    </row>
    <row r="858">
      <c r="A858" s="11">
        <v>45783.0</v>
      </c>
      <c r="B858" s="17">
        <v>13.0</v>
      </c>
      <c r="C858" s="17">
        <v>19.0</v>
      </c>
      <c r="D858" s="17" t="s">
        <v>73</v>
      </c>
      <c r="E858" s="17">
        <v>19.3</v>
      </c>
      <c r="F858" s="18"/>
      <c r="G858" s="17"/>
      <c r="H858" s="17">
        <v>7.69</v>
      </c>
      <c r="I858" s="17">
        <v>0.014</v>
      </c>
      <c r="J858" s="17">
        <v>9.2</v>
      </c>
      <c r="K858" s="17">
        <v>55.77</v>
      </c>
      <c r="L858" s="17">
        <v>17.0</v>
      </c>
      <c r="M858" s="17">
        <v>17.0</v>
      </c>
      <c r="N858" s="27"/>
      <c r="O858" s="30">
        <v>5.0</v>
      </c>
      <c r="P858" s="30">
        <v>1.0</v>
      </c>
      <c r="Q858" s="27"/>
      <c r="R858" s="27"/>
      <c r="S858" s="31">
        <v>5.02</v>
      </c>
      <c r="T858" s="32"/>
      <c r="U858" s="32"/>
      <c r="V858" s="24"/>
      <c r="W858" s="36">
        <v>280000.0</v>
      </c>
    </row>
    <row r="859">
      <c r="A859" s="11">
        <v>45784.0</v>
      </c>
      <c r="B859" s="25"/>
      <c r="C859" s="25"/>
      <c r="D859" s="25"/>
      <c r="E859" s="25"/>
      <c r="F859" s="26"/>
      <c r="G859" s="25"/>
      <c r="H859" s="25"/>
      <c r="I859" s="25"/>
      <c r="J859" s="25"/>
      <c r="K859" s="25"/>
      <c r="L859" s="25"/>
      <c r="M859" s="25"/>
      <c r="N859" s="27"/>
      <c r="O859" s="27"/>
      <c r="P859" s="27"/>
      <c r="Q859" s="27"/>
      <c r="R859" s="27"/>
      <c r="S859" s="28"/>
      <c r="T859" s="29"/>
      <c r="U859" s="29"/>
      <c r="V859" s="24"/>
      <c r="W859" s="24"/>
    </row>
    <row r="860">
      <c r="A860" s="11">
        <v>45785.0</v>
      </c>
      <c r="B860" s="17">
        <v>10.0</v>
      </c>
      <c r="C860" s="17">
        <v>20.0</v>
      </c>
      <c r="D860" s="17" t="s">
        <v>62</v>
      </c>
      <c r="E860" s="17">
        <v>18.0</v>
      </c>
      <c r="F860" s="18"/>
      <c r="G860" s="17"/>
      <c r="H860" s="17">
        <v>7.82</v>
      </c>
      <c r="I860" s="17">
        <v>0.026</v>
      </c>
      <c r="J860" s="17">
        <v>9.5</v>
      </c>
      <c r="K860" s="17">
        <v>47.04</v>
      </c>
      <c r="L860" s="17">
        <v>17.0</v>
      </c>
      <c r="M860" s="17">
        <v>19.0</v>
      </c>
      <c r="N860" s="30">
        <v>1.0</v>
      </c>
      <c r="O860" s="30">
        <v>4.0</v>
      </c>
      <c r="P860" s="27"/>
      <c r="Q860" s="27"/>
      <c r="R860" s="27"/>
      <c r="S860" s="28"/>
      <c r="T860" s="29"/>
      <c r="U860" s="29"/>
      <c r="V860" s="36">
        <v>400000.0</v>
      </c>
      <c r="W860" s="36">
        <v>290000.0</v>
      </c>
    </row>
    <row r="861">
      <c r="A861" s="11">
        <v>45786.0</v>
      </c>
      <c r="B861" s="17">
        <v>13.0</v>
      </c>
      <c r="C861" s="17">
        <v>19.0</v>
      </c>
      <c r="D861" s="17" t="s">
        <v>62</v>
      </c>
      <c r="E861" s="17">
        <v>17.4</v>
      </c>
      <c r="F861" s="18"/>
      <c r="G861" s="17"/>
      <c r="H861" s="17">
        <v>7.92</v>
      </c>
      <c r="I861" s="17">
        <v>0.018</v>
      </c>
      <c r="J861" s="17">
        <v>9.5</v>
      </c>
      <c r="K861" s="17">
        <v>3875.0</v>
      </c>
      <c r="L861" s="17">
        <v>20.0</v>
      </c>
      <c r="M861" s="17">
        <v>21.0</v>
      </c>
      <c r="N861" s="27"/>
      <c r="O861" s="30">
        <v>2.0</v>
      </c>
      <c r="P861" s="27"/>
      <c r="Q861" s="27"/>
      <c r="R861" s="27"/>
      <c r="S861" s="28"/>
      <c r="T861" s="29"/>
      <c r="U861" s="29"/>
      <c r="V861" s="24"/>
      <c r="W861" s="24"/>
    </row>
    <row r="862">
      <c r="A862" s="11">
        <v>45787.0</v>
      </c>
      <c r="B862" s="25"/>
      <c r="C862" s="25"/>
      <c r="D862" s="25"/>
      <c r="E862" s="25"/>
      <c r="F862" s="26"/>
      <c r="G862" s="25"/>
      <c r="H862" s="25"/>
      <c r="I862" s="25"/>
      <c r="J862" s="25"/>
      <c r="K862" s="25"/>
      <c r="L862" s="25"/>
      <c r="M862" s="25"/>
      <c r="N862" s="30">
        <v>1.0</v>
      </c>
      <c r="O862" s="30">
        <v>1.0</v>
      </c>
      <c r="P862" s="27"/>
      <c r="Q862" s="27"/>
      <c r="R862" s="27"/>
      <c r="S862" s="28"/>
      <c r="T862" s="29"/>
      <c r="U862" s="29"/>
      <c r="V862" s="24"/>
      <c r="W862" s="24"/>
    </row>
    <row r="863">
      <c r="A863" s="11">
        <v>45788.0</v>
      </c>
      <c r="B863" s="25"/>
      <c r="C863" s="25"/>
      <c r="D863" s="25"/>
      <c r="E863" s="25"/>
      <c r="F863" s="26"/>
      <c r="G863" s="25"/>
      <c r="H863" s="25"/>
      <c r="I863" s="25"/>
      <c r="J863" s="25"/>
      <c r="K863" s="25"/>
      <c r="L863" s="25"/>
      <c r="M863" s="25"/>
      <c r="N863" s="27"/>
      <c r="O863" s="27"/>
      <c r="P863" s="27"/>
      <c r="Q863" s="27"/>
      <c r="R863" s="27"/>
      <c r="S863" s="28"/>
      <c r="T863" s="29"/>
      <c r="U863" s="29"/>
      <c r="V863" s="24"/>
      <c r="W863" s="24"/>
    </row>
    <row r="864">
      <c r="A864" s="11">
        <v>45789.0</v>
      </c>
      <c r="B864" s="17">
        <v>13.0</v>
      </c>
      <c r="C864" s="17">
        <v>22.0</v>
      </c>
      <c r="D864" s="17" t="s">
        <v>64</v>
      </c>
      <c r="E864" s="17">
        <v>20.4</v>
      </c>
      <c r="F864" s="18"/>
      <c r="G864" s="17"/>
      <c r="H864" s="17">
        <v>7.69</v>
      </c>
      <c r="I864" s="17">
        <v>0.16</v>
      </c>
      <c r="J864" s="17">
        <v>9.0</v>
      </c>
      <c r="K864" s="17">
        <v>5196.0</v>
      </c>
      <c r="L864" s="17">
        <v>20.0</v>
      </c>
      <c r="M864" s="17">
        <v>20.0</v>
      </c>
      <c r="N864" s="30">
        <v>1.0</v>
      </c>
      <c r="O864" s="30">
        <v>4.0</v>
      </c>
      <c r="P864" s="27"/>
      <c r="Q864" s="27"/>
      <c r="R864" s="27"/>
      <c r="S864" s="28"/>
      <c r="T864" s="29"/>
      <c r="U864" s="29"/>
      <c r="V864" s="36">
        <v>450000.0</v>
      </c>
      <c r="W864" s="36">
        <v>320000.0</v>
      </c>
    </row>
    <row r="865">
      <c r="A865" s="11">
        <v>45790.0</v>
      </c>
      <c r="B865" s="17">
        <v>14.0</v>
      </c>
      <c r="C865" s="17">
        <v>20.0</v>
      </c>
      <c r="D865" s="17" t="s">
        <v>95</v>
      </c>
      <c r="E865" s="17">
        <v>20.8</v>
      </c>
      <c r="F865" s="18"/>
      <c r="G865" s="17"/>
      <c r="H865" s="17">
        <v>8.04</v>
      </c>
      <c r="I865" s="17">
        <v>0.014</v>
      </c>
      <c r="J865" s="17">
        <v>8.9</v>
      </c>
      <c r="K865" s="17">
        <v>23.41</v>
      </c>
      <c r="L865" s="17">
        <v>20.0</v>
      </c>
      <c r="M865" s="17">
        <v>21.0</v>
      </c>
      <c r="N865" s="27"/>
      <c r="O865" s="30">
        <v>2.0</v>
      </c>
      <c r="P865" s="27"/>
      <c r="Q865" s="27"/>
      <c r="R865" s="27"/>
      <c r="S865" s="28"/>
      <c r="T865" s="29"/>
      <c r="U865" s="29"/>
      <c r="V865" s="24"/>
      <c r="W865" s="24"/>
    </row>
    <row r="866">
      <c r="A866" s="11">
        <v>45791.0</v>
      </c>
      <c r="B866" s="17">
        <v>13.0</v>
      </c>
      <c r="C866" s="17">
        <v>22.0</v>
      </c>
      <c r="D866" s="17" t="s">
        <v>64</v>
      </c>
      <c r="E866" s="17">
        <v>19.8</v>
      </c>
      <c r="F866" s="18"/>
      <c r="G866" s="17"/>
      <c r="H866" s="17">
        <v>7.92</v>
      </c>
      <c r="I866" s="17">
        <v>0.004</v>
      </c>
      <c r="J866" s="17">
        <v>9.1</v>
      </c>
      <c r="K866" s="17">
        <v>32.85</v>
      </c>
      <c r="L866" s="17">
        <v>17.0</v>
      </c>
      <c r="M866" s="17">
        <v>18.0</v>
      </c>
      <c r="N866" s="27"/>
      <c r="O866" s="30">
        <v>5.0</v>
      </c>
      <c r="P866" s="27"/>
      <c r="Q866" s="27"/>
      <c r="R866" s="27"/>
      <c r="S866" s="28"/>
      <c r="T866" s="29"/>
      <c r="U866" s="29"/>
      <c r="V866" s="36">
        <v>380000.0</v>
      </c>
      <c r="W866" s="36">
        <v>350000.0</v>
      </c>
    </row>
    <row r="867">
      <c r="A867" s="11">
        <v>45792.0</v>
      </c>
      <c r="B867" s="17">
        <v>11.0</v>
      </c>
      <c r="C867" s="17">
        <v>22.0</v>
      </c>
      <c r="D867" s="17" t="s">
        <v>64</v>
      </c>
      <c r="E867" s="17">
        <v>20.0</v>
      </c>
      <c r="F867" s="18"/>
      <c r="G867" s="17"/>
      <c r="H867" s="17">
        <v>8.06</v>
      </c>
      <c r="I867" s="17">
        <v>0.004</v>
      </c>
      <c r="J867" s="17">
        <v>9.1</v>
      </c>
      <c r="K867" s="17">
        <v>23.8</v>
      </c>
      <c r="L867" s="17">
        <v>15.0</v>
      </c>
      <c r="M867" s="17">
        <v>16.0</v>
      </c>
      <c r="N867" s="30">
        <v>1.0</v>
      </c>
      <c r="O867" s="30">
        <v>3.0</v>
      </c>
      <c r="P867" s="27"/>
      <c r="Q867" s="27"/>
      <c r="R867" s="27"/>
      <c r="S867" s="28"/>
      <c r="T867" s="29"/>
      <c r="U867" s="29"/>
      <c r="V867" s="24"/>
      <c r="W867" s="24"/>
    </row>
    <row r="868">
      <c r="A868" s="11">
        <v>45793.0</v>
      </c>
      <c r="B868" s="17">
        <v>12.0</v>
      </c>
      <c r="C868" s="17">
        <v>19.0</v>
      </c>
      <c r="D868" s="17" t="s">
        <v>64</v>
      </c>
      <c r="E868" s="17">
        <v>20.0</v>
      </c>
      <c r="F868" s="18"/>
      <c r="G868" s="17"/>
      <c r="H868" s="17">
        <v>7.96</v>
      </c>
      <c r="I868" s="17">
        <v>0.002</v>
      </c>
      <c r="J868" s="17">
        <v>9.1</v>
      </c>
      <c r="K868" s="17">
        <v>29.55</v>
      </c>
      <c r="L868" s="17">
        <v>16.0</v>
      </c>
      <c r="M868" s="17">
        <v>16.0</v>
      </c>
      <c r="N868" s="27"/>
      <c r="O868" s="30">
        <v>1.0</v>
      </c>
      <c r="P868" s="27"/>
      <c r="Q868" s="27"/>
      <c r="R868" s="27"/>
      <c r="S868" s="28"/>
      <c r="T868" s="29"/>
      <c r="U868" s="29"/>
      <c r="V868" s="24"/>
      <c r="W868" s="24"/>
    </row>
    <row r="869">
      <c r="A869" s="11">
        <v>45794.0</v>
      </c>
      <c r="B869" s="25"/>
      <c r="C869" s="25"/>
      <c r="D869" s="25"/>
      <c r="E869" s="25"/>
      <c r="F869" s="26"/>
      <c r="G869" s="25"/>
      <c r="H869" s="25"/>
      <c r="I869" s="25"/>
      <c r="J869" s="25"/>
      <c r="K869" s="25"/>
      <c r="L869" s="25"/>
      <c r="M869" s="25"/>
      <c r="N869" s="27"/>
      <c r="O869" s="27"/>
      <c r="P869" s="27"/>
      <c r="Q869" s="27"/>
      <c r="R869" s="27"/>
      <c r="S869" s="28"/>
      <c r="T869" s="29"/>
      <c r="U869" s="29"/>
      <c r="V869" s="24"/>
      <c r="W869" s="24"/>
    </row>
    <row r="870">
      <c r="A870" s="11">
        <v>45795.0</v>
      </c>
      <c r="B870" s="25"/>
      <c r="C870" s="25"/>
      <c r="D870" s="25"/>
      <c r="E870" s="25"/>
      <c r="F870" s="26"/>
      <c r="G870" s="25"/>
      <c r="H870" s="25"/>
      <c r="I870" s="25"/>
      <c r="J870" s="25"/>
      <c r="K870" s="25"/>
      <c r="L870" s="25"/>
      <c r="M870" s="25"/>
      <c r="N870" s="27"/>
      <c r="O870" s="27"/>
      <c r="P870" s="27"/>
      <c r="Q870" s="27"/>
      <c r="R870" s="27"/>
      <c r="S870" s="28"/>
      <c r="T870" s="29"/>
      <c r="U870" s="29"/>
      <c r="V870" s="24"/>
      <c r="W870" s="24"/>
    </row>
    <row r="871">
      <c r="A871" s="11">
        <v>45796.0</v>
      </c>
      <c r="B871" s="17">
        <v>12.0</v>
      </c>
      <c r="C871" s="17">
        <v>26.0</v>
      </c>
      <c r="D871" s="17" t="s">
        <v>69</v>
      </c>
      <c r="E871" s="17">
        <v>18.8</v>
      </c>
      <c r="F871" s="18">
        <v>70.0</v>
      </c>
      <c r="G871" s="17"/>
      <c r="H871" s="17">
        <v>7.83</v>
      </c>
      <c r="I871" s="17">
        <v>0.014</v>
      </c>
      <c r="J871" s="17">
        <v>9.3</v>
      </c>
      <c r="K871" s="17">
        <v>42.63</v>
      </c>
      <c r="L871" s="17">
        <v>16.0</v>
      </c>
      <c r="M871" s="17">
        <v>15.0</v>
      </c>
      <c r="N871" s="30">
        <v>0.0</v>
      </c>
      <c r="O871" s="30">
        <v>0.0</v>
      </c>
      <c r="P871" s="27"/>
      <c r="Q871" s="27"/>
      <c r="R871" s="27"/>
      <c r="S871" s="31">
        <v>3.94</v>
      </c>
      <c r="T871" s="32"/>
      <c r="U871" s="32"/>
      <c r="V871" s="36">
        <v>350000.0</v>
      </c>
      <c r="W871" s="36">
        <v>280000.0</v>
      </c>
    </row>
    <row r="872">
      <c r="A872" s="11">
        <v>45797.0</v>
      </c>
      <c r="B872" s="17">
        <v>13.0</v>
      </c>
      <c r="C872" s="17">
        <v>22.0</v>
      </c>
      <c r="D872" s="17" t="s">
        <v>62</v>
      </c>
      <c r="E872" s="17">
        <v>19.5</v>
      </c>
      <c r="F872" s="18">
        <v>80.0</v>
      </c>
      <c r="G872" s="17"/>
      <c r="H872" s="17">
        <v>7.94</v>
      </c>
      <c r="I872" s="17">
        <v>0.026</v>
      </c>
      <c r="J872" s="17">
        <v>9.2</v>
      </c>
      <c r="K872" s="17">
        <v>31.33</v>
      </c>
      <c r="L872" s="17">
        <v>18.0</v>
      </c>
      <c r="M872" s="17">
        <v>17.0</v>
      </c>
      <c r="N872" s="30">
        <v>1.0</v>
      </c>
      <c r="O872" s="30">
        <v>2.0</v>
      </c>
      <c r="P872" s="27"/>
      <c r="Q872" s="27"/>
      <c r="R872" s="27"/>
      <c r="S872" s="28"/>
      <c r="T872" s="29"/>
      <c r="U872" s="29"/>
      <c r="V872" s="24"/>
      <c r="W872" s="24"/>
    </row>
    <row r="873">
      <c r="A873" s="11">
        <v>45798.0</v>
      </c>
      <c r="B873" s="17">
        <v>15.0</v>
      </c>
      <c r="C873" s="17">
        <v>22.0</v>
      </c>
      <c r="D873" s="17" t="s">
        <v>96</v>
      </c>
      <c r="E873" s="17">
        <v>19.4</v>
      </c>
      <c r="F873" s="18">
        <v>80.0</v>
      </c>
      <c r="G873" s="17"/>
      <c r="H873" s="17">
        <v>7.89</v>
      </c>
      <c r="I873" s="17">
        <v>0.023</v>
      </c>
      <c r="J873" s="17">
        <v>9.2</v>
      </c>
      <c r="K873" s="17">
        <v>38.8</v>
      </c>
      <c r="L873" s="17">
        <v>15.0</v>
      </c>
      <c r="M873" s="17">
        <v>17.0</v>
      </c>
      <c r="N873" s="27"/>
      <c r="O873" s="27"/>
      <c r="P873" s="27"/>
      <c r="Q873" s="27"/>
      <c r="R873" s="27"/>
      <c r="S873" s="28"/>
      <c r="T873" s="29"/>
      <c r="U873" s="29"/>
      <c r="V873" s="24"/>
      <c r="W873" s="24"/>
    </row>
    <row r="874">
      <c r="A874" s="11">
        <v>45799.0</v>
      </c>
      <c r="B874" s="17">
        <v>15.0</v>
      </c>
      <c r="C874" s="17">
        <v>23.0</v>
      </c>
      <c r="D874" s="17" t="s">
        <v>73</v>
      </c>
      <c r="E874" s="17">
        <v>20.3</v>
      </c>
      <c r="F874" s="18">
        <v>70.0</v>
      </c>
      <c r="G874" s="17"/>
      <c r="H874" s="17">
        <v>7.83</v>
      </c>
      <c r="I874" s="17">
        <v>0.008</v>
      </c>
      <c r="J874" s="17">
        <v>9.0</v>
      </c>
      <c r="K874" s="17">
        <v>38.67</v>
      </c>
      <c r="L874" s="17">
        <v>18.0</v>
      </c>
      <c r="M874" s="17">
        <v>20.0</v>
      </c>
      <c r="N874" s="30">
        <v>1.0</v>
      </c>
      <c r="O874" s="30">
        <v>1.0</v>
      </c>
      <c r="P874" s="27"/>
      <c r="Q874" s="27"/>
      <c r="R874" s="27"/>
      <c r="S874" s="28"/>
      <c r="T874" s="29"/>
      <c r="U874" s="29"/>
      <c r="V874" s="24"/>
      <c r="W874" s="24"/>
    </row>
    <row r="875">
      <c r="A875" s="11">
        <v>45800.0</v>
      </c>
      <c r="B875" s="17">
        <v>12.0</v>
      </c>
      <c r="C875" s="17">
        <v>17.0</v>
      </c>
      <c r="D875" s="17" t="s">
        <v>73</v>
      </c>
      <c r="E875" s="17">
        <v>19.4</v>
      </c>
      <c r="F875" s="18">
        <v>100.0</v>
      </c>
      <c r="G875" s="17"/>
      <c r="H875" s="17">
        <v>7.92</v>
      </c>
      <c r="I875" s="17">
        <v>0.02</v>
      </c>
      <c r="J875" s="17">
        <v>9.2</v>
      </c>
      <c r="K875" s="17">
        <v>35.14</v>
      </c>
      <c r="L875" s="17">
        <v>18.0</v>
      </c>
      <c r="M875" s="17">
        <v>20.0</v>
      </c>
      <c r="N875" s="30">
        <v>2.0</v>
      </c>
      <c r="O875" s="30">
        <v>6.0</v>
      </c>
      <c r="P875" s="27"/>
      <c r="Q875" s="27"/>
      <c r="R875" s="27"/>
      <c r="S875" s="28"/>
      <c r="T875" s="29"/>
      <c r="U875" s="29"/>
      <c r="V875" s="36">
        <v>290000.0</v>
      </c>
      <c r="W875" s="36">
        <v>270000.0</v>
      </c>
    </row>
    <row r="876">
      <c r="A876" s="11">
        <v>45801.0</v>
      </c>
      <c r="B876" s="25"/>
      <c r="C876" s="25"/>
      <c r="D876" s="25"/>
      <c r="E876" s="25"/>
      <c r="F876" s="26"/>
      <c r="G876" s="25"/>
      <c r="H876" s="25"/>
      <c r="I876" s="25"/>
      <c r="J876" s="25"/>
      <c r="K876" s="25"/>
      <c r="L876" s="25"/>
      <c r="M876" s="25"/>
      <c r="N876" s="27"/>
      <c r="O876" s="27"/>
      <c r="P876" s="27"/>
      <c r="Q876" s="27"/>
      <c r="R876" s="27"/>
      <c r="S876" s="28"/>
      <c r="T876" s="29"/>
      <c r="U876" s="29"/>
      <c r="V876" s="24"/>
      <c r="W876" s="24"/>
    </row>
    <row r="877">
      <c r="A877" s="11">
        <v>45802.0</v>
      </c>
      <c r="B877" s="17">
        <v>10.0</v>
      </c>
      <c r="C877" s="17">
        <v>22.0</v>
      </c>
      <c r="D877" s="17" t="s">
        <v>64</v>
      </c>
      <c r="E877" s="17">
        <v>19.1</v>
      </c>
      <c r="F877" s="26"/>
      <c r="G877" s="17"/>
      <c r="H877" s="17">
        <v>7.83</v>
      </c>
      <c r="I877" s="17">
        <v>0.089</v>
      </c>
      <c r="J877" s="17">
        <v>9.2</v>
      </c>
      <c r="K877" s="17">
        <v>42.02</v>
      </c>
      <c r="L877" s="17">
        <v>20.0</v>
      </c>
      <c r="M877" s="17">
        <v>22.0</v>
      </c>
      <c r="N877" s="27"/>
      <c r="O877" s="27"/>
      <c r="P877" s="27"/>
      <c r="Q877" s="27"/>
      <c r="R877" s="27"/>
      <c r="S877" s="28"/>
      <c r="T877" s="29"/>
      <c r="U877" s="29"/>
      <c r="V877" s="24"/>
      <c r="W877" s="24"/>
    </row>
    <row r="878">
      <c r="A878" s="11">
        <v>45803.0</v>
      </c>
      <c r="B878" s="17">
        <v>14.0</v>
      </c>
      <c r="C878" s="17">
        <v>26.0</v>
      </c>
      <c r="D878" s="17" t="s">
        <v>73</v>
      </c>
      <c r="E878" s="17">
        <v>19.4</v>
      </c>
      <c r="F878" s="18">
        <v>95.0</v>
      </c>
      <c r="G878" s="17"/>
      <c r="H878" s="17">
        <v>8.16</v>
      </c>
      <c r="I878" s="17">
        <v>0.07</v>
      </c>
      <c r="J878" s="17">
        <v>9.1</v>
      </c>
      <c r="K878" s="17">
        <v>17.9</v>
      </c>
      <c r="L878" s="17">
        <v>20.0</v>
      </c>
      <c r="M878" s="17">
        <v>20.0</v>
      </c>
      <c r="N878" s="30">
        <v>3.0</v>
      </c>
      <c r="O878" s="30">
        <v>3.0</v>
      </c>
      <c r="P878" s="27"/>
      <c r="Q878" s="27"/>
      <c r="R878" s="27"/>
      <c r="S878" s="28"/>
      <c r="T878" s="29"/>
      <c r="U878" s="29"/>
      <c r="V878" s="24"/>
      <c r="W878" s="36">
        <v>270000.0</v>
      </c>
    </row>
    <row r="879">
      <c r="A879" s="11">
        <v>45804.0</v>
      </c>
      <c r="B879" s="17">
        <v>15.0</v>
      </c>
      <c r="C879" s="17">
        <v>26.0</v>
      </c>
      <c r="D879" s="17" t="s">
        <v>62</v>
      </c>
      <c r="E879" s="17">
        <v>20.4</v>
      </c>
      <c r="F879" s="18">
        <v>90.0</v>
      </c>
      <c r="G879" s="17"/>
      <c r="H879" s="17">
        <v>8.16</v>
      </c>
      <c r="I879" s="17">
        <v>0.07</v>
      </c>
      <c r="J879" s="17">
        <v>9.0</v>
      </c>
      <c r="K879" s="17">
        <v>17.9</v>
      </c>
      <c r="L879" s="17">
        <v>21.0</v>
      </c>
      <c r="M879" s="17">
        <v>23.0</v>
      </c>
      <c r="N879" s="27"/>
      <c r="O879" s="30">
        <v>5.0</v>
      </c>
      <c r="P879" s="27"/>
      <c r="Q879" s="27"/>
      <c r="R879" s="27"/>
      <c r="S879" s="28"/>
      <c r="T879" s="29"/>
      <c r="U879" s="29"/>
      <c r="V879" s="36">
        <v>250000.0</v>
      </c>
      <c r="W879" s="36">
        <v>260000.0</v>
      </c>
    </row>
    <row r="880">
      <c r="A880" s="11">
        <v>45805.0</v>
      </c>
      <c r="B880" s="17">
        <v>13.0</v>
      </c>
      <c r="C880" s="17">
        <v>26.0</v>
      </c>
      <c r="D880" s="17" t="s">
        <v>64</v>
      </c>
      <c r="E880" s="17">
        <v>18.8</v>
      </c>
      <c r="F880" s="18">
        <v>85.0</v>
      </c>
      <c r="G880" s="17"/>
      <c r="H880" s="17">
        <v>8.16</v>
      </c>
      <c r="I880" s="17">
        <v>0.07</v>
      </c>
      <c r="J880" s="17">
        <v>9.3</v>
      </c>
      <c r="K880" s="17">
        <v>17.9</v>
      </c>
      <c r="L880" s="17">
        <v>21.0</v>
      </c>
      <c r="M880" s="17">
        <v>21.0</v>
      </c>
      <c r="N880" s="30">
        <v>1.0</v>
      </c>
      <c r="O880" s="30">
        <v>2.0</v>
      </c>
      <c r="P880" s="27"/>
      <c r="Q880" s="27"/>
      <c r="R880" s="27"/>
      <c r="S880" s="28"/>
      <c r="T880" s="29"/>
      <c r="U880" s="29"/>
      <c r="V880" s="24"/>
      <c r="W880" s="24"/>
    </row>
    <row r="881">
      <c r="A881" s="11">
        <v>45806.0</v>
      </c>
      <c r="B881" s="17">
        <v>16.0</v>
      </c>
      <c r="C881" s="17">
        <v>26.0</v>
      </c>
      <c r="D881" s="17" t="s">
        <v>64</v>
      </c>
      <c r="E881" s="17">
        <v>20.6</v>
      </c>
      <c r="F881" s="18">
        <v>75.0</v>
      </c>
      <c r="G881" s="17"/>
      <c r="H881" s="17">
        <v>8.1</v>
      </c>
      <c r="I881" s="17">
        <v>0.07</v>
      </c>
      <c r="J881" s="17">
        <v>9.0</v>
      </c>
      <c r="K881" s="17">
        <v>17.9</v>
      </c>
      <c r="L881" s="17">
        <v>20.0</v>
      </c>
      <c r="M881" s="17">
        <v>22.0</v>
      </c>
      <c r="N881" s="27"/>
      <c r="O881" s="30">
        <v>4.0</v>
      </c>
      <c r="P881" s="27"/>
      <c r="Q881" s="27"/>
      <c r="R881" s="27"/>
      <c r="S881" s="28"/>
      <c r="T881" s="29"/>
      <c r="U881" s="29"/>
      <c r="V881" s="36">
        <v>200000.0</v>
      </c>
      <c r="W881" s="36">
        <v>210000.0</v>
      </c>
    </row>
    <row r="882">
      <c r="A882" s="11">
        <v>45807.0</v>
      </c>
      <c r="B882" s="17">
        <v>15.0</v>
      </c>
      <c r="C882" s="17">
        <v>24.0</v>
      </c>
      <c r="D882" s="17" t="s">
        <v>64</v>
      </c>
      <c r="E882" s="17">
        <v>21.7</v>
      </c>
      <c r="F882" s="18">
        <v>60.0</v>
      </c>
      <c r="G882" s="17"/>
      <c r="H882" s="17">
        <v>8.07</v>
      </c>
      <c r="I882" s="17">
        <v>0.002</v>
      </c>
      <c r="J882" s="17">
        <v>8.7</v>
      </c>
      <c r="K882" s="17">
        <v>20.31</v>
      </c>
      <c r="L882" s="17">
        <v>20.0</v>
      </c>
      <c r="M882" s="17">
        <v>20.0</v>
      </c>
      <c r="N882" s="30">
        <v>1.0</v>
      </c>
      <c r="O882" s="30">
        <v>3.0</v>
      </c>
      <c r="P882" s="27"/>
      <c r="Q882" s="27"/>
      <c r="R882" s="27"/>
      <c r="S882" s="28"/>
      <c r="T882" s="29"/>
      <c r="U882" s="29"/>
      <c r="V882" s="24"/>
      <c r="W882" s="24"/>
    </row>
    <row r="883">
      <c r="A883" s="11">
        <v>45808.0</v>
      </c>
      <c r="B883" s="17"/>
      <c r="C883" s="17"/>
      <c r="D883" s="17"/>
      <c r="E883" s="17"/>
      <c r="F883" s="18"/>
      <c r="G883" s="17"/>
      <c r="H883" s="17"/>
      <c r="I883" s="17"/>
      <c r="J883" s="17"/>
      <c r="K883" s="17"/>
      <c r="L883" s="17"/>
      <c r="M883" s="17"/>
      <c r="N883" s="27"/>
      <c r="O883" s="27"/>
      <c r="P883" s="27"/>
      <c r="Q883" s="27"/>
      <c r="R883" s="27"/>
      <c r="S883" s="28"/>
      <c r="T883" s="29"/>
      <c r="U883" s="29"/>
      <c r="V883" s="24"/>
      <c r="W883" s="24"/>
    </row>
    <row r="884">
      <c r="A884" s="11">
        <v>45809.0</v>
      </c>
      <c r="B884" s="25"/>
      <c r="C884" s="25"/>
      <c r="D884" s="25"/>
      <c r="E884" s="25"/>
      <c r="F884" s="26"/>
      <c r="G884" s="25"/>
      <c r="H884" s="25"/>
      <c r="I884" s="25"/>
      <c r="J884" s="25"/>
      <c r="K884" s="25"/>
      <c r="L884" s="25"/>
      <c r="M884" s="25"/>
      <c r="N884" s="27"/>
      <c r="O884" s="27"/>
      <c r="P884" s="27"/>
      <c r="Q884" s="27"/>
      <c r="R884" s="27"/>
      <c r="S884" s="28"/>
      <c r="T884" s="29"/>
      <c r="U884" s="29"/>
      <c r="V884" s="24"/>
      <c r="W884" s="24"/>
    </row>
    <row r="885">
      <c r="A885" s="11">
        <v>45810.0</v>
      </c>
      <c r="B885" s="25"/>
      <c r="C885" s="25"/>
      <c r="D885" s="25"/>
      <c r="E885" s="25"/>
      <c r="F885" s="26"/>
      <c r="G885" s="25"/>
      <c r="H885" s="25"/>
      <c r="I885" s="25"/>
      <c r="J885" s="25"/>
      <c r="K885" s="25"/>
      <c r="L885" s="25"/>
      <c r="M885" s="25"/>
      <c r="N885" s="27"/>
      <c r="O885" s="27"/>
      <c r="P885" s="27"/>
      <c r="Q885" s="27"/>
      <c r="R885" s="27"/>
      <c r="S885" s="28"/>
      <c r="T885" s="29"/>
      <c r="U885" s="29"/>
      <c r="V885" s="24"/>
      <c r="W885" s="24"/>
    </row>
    <row r="886">
      <c r="A886" s="11">
        <v>45811.0</v>
      </c>
      <c r="B886" s="17">
        <v>17.0</v>
      </c>
      <c r="C886" s="17">
        <v>30.0</v>
      </c>
      <c r="D886" s="17" t="s">
        <v>64</v>
      </c>
      <c r="E886" s="17">
        <v>25.0</v>
      </c>
      <c r="F886" s="18">
        <v>60.0</v>
      </c>
      <c r="G886" s="17"/>
      <c r="H886" s="17">
        <v>8.55</v>
      </c>
      <c r="I886" s="17">
        <v>0.002</v>
      </c>
      <c r="J886" s="17">
        <v>8.3</v>
      </c>
      <c r="K886" s="17">
        <v>14.94</v>
      </c>
      <c r="L886" s="17">
        <v>18.0</v>
      </c>
      <c r="M886" s="17">
        <v>18.0</v>
      </c>
      <c r="N886" s="27"/>
      <c r="O886" s="27"/>
      <c r="P886" s="27"/>
      <c r="Q886" s="27"/>
      <c r="R886" s="27"/>
      <c r="S886" s="31">
        <v>6.56</v>
      </c>
      <c r="T886" s="32"/>
      <c r="U886" s="32"/>
      <c r="V886" s="24"/>
      <c r="W886" s="24"/>
    </row>
    <row r="887">
      <c r="A887" s="11">
        <v>45812.0</v>
      </c>
      <c r="B887" s="17">
        <v>16.0</v>
      </c>
      <c r="C887" s="17">
        <v>29.0</v>
      </c>
      <c r="D887" s="17" t="s">
        <v>73</v>
      </c>
      <c r="E887" s="17">
        <v>24.0</v>
      </c>
      <c r="F887" s="18">
        <v>62.0</v>
      </c>
      <c r="G887" s="17"/>
      <c r="H887" s="17">
        <v>8.08</v>
      </c>
      <c r="I887" s="17">
        <v>0.002</v>
      </c>
      <c r="J887" s="17">
        <v>8.4</v>
      </c>
      <c r="K887" s="17">
        <v>17.5</v>
      </c>
      <c r="L887" s="17">
        <v>19.0</v>
      </c>
      <c r="M887" s="17">
        <v>18.0</v>
      </c>
      <c r="N887" s="30">
        <v>1.0</v>
      </c>
      <c r="O887" s="30">
        <v>2.0</v>
      </c>
      <c r="P887" s="27"/>
      <c r="Q887" s="27"/>
      <c r="R887" s="27"/>
      <c r="S887" s="28"/>
      <c r="T887" s="29"/>
      <c r="U887" s="29"/>
      <c r="V887" s="24"/>
      <c r="W887" s="24"/>
    </row>
    <row r="888">
      <c r="A888" s="11">
        <v>45813.0</v>
      </c>
      <c r="B888" s="17">
        <v>17.0</v>
      </c>
      <c r="C888" s="17">
        <v>29.0</v>
      </c>
      <c r="D888" s="17" t="s">
        <v>73</v>
      </c>
      <c r="E888" s="17">
        <v>23.7</v>
      </c>
      <c r="F888" s="18">
        <v>63.0</v>
      </c>
      <c r="G888" s="17"/>
      <c r="H888" s="17">
        <v>8.07</v>
      </c>
      <c r="I888" s="17">
        <v>0.002</v>
      </c>
      <c r="J888" s="17">
        <v>8.4</v>
      </c>
      <c r="K888" s="17">
        <v>17.5</v>
      </c>
      <c r="L888" s="17">
        <v>17.0</v>
      </c>
      <c r="M888" s="17">
        <v>17.0</v>
      </c>
      <c r="N888" s="30">
        <v>1.0</v>
      </c>
      <c r="O888" s="30">
        <v>1.0</v>
      </c>
      <c r="P888" s="27"/>
      <c r="Q888" s="27"/>
      <c r="R888" s="27"/>
      <c r="S888" s="28"/>
      <c r="T888" s="29"/>
      <c r="U888" s="29"/>
      <c r="V888" s="24"/>
      <c r="W888" s="24"/>
    </row>
    <row r="889">
      <c r="A889" s="11">
        <v>45814.0</v>
      </c>
      <c r="B889" s="17">
        <v>19.0</v>
      </c>
      <c r="C889" s="17">
        <v>29.0</v>
      </c>
      <c r="D889" s="17" t="s">
        <v>64</v>
      </c>
      <c r="E889" s="17">
        <v>23.7</v>
      </c>
      <c r="F889" s="18">
        <v>63.0</v>
      </c>
      <c r="G889" s="17"/>
      <c r="H889" s="17">
        <v>8.39</v>
      </c>
      <c r="I889" s="17">
        <v>0.008</v>
      </c>
      <c r="J889" s="17">
        <v>8.4</v>
      </c>
      <c r="K889" s="17">
        <v>9.03</v>
      </c>
      <c r="L889" s="17">
        <v>18.0</v>
      </c>
      <c r="M889" s="17">
        <v>19.0</v>
      </c>
      <c r="N889" s="27"/>
      <c r="O889" s="27"/>
      <c r="P889" s="27"/>
      <c r="Q889" s="27"/>
      <c r="R889" s="30"/>
      <c r="S889" s="28"/>
      <c r="T889" s="29"/>
      <c r="U889" s="29"/>
      <c r="V889" s="24"/>
      <c r="W889" s="24"/>
    </row>
    <row r="890">
      <c r="A890" s="11">
        <v>45815.0</v>
      </c>
      <c r="B890" s="25"/>
      <c r="C890" s="25"/>
      <c r="D890" s="25"/>
      <c r="E890" s="25"/>
      <c r="F890" s="26"/>
      <c r="G890" s="25"/>
      <c r="H890" s="25"/>
      <c r="I890" s="25"/>
      <c r="J890" s="25"/>
      <c r="K890" s="25"/>
      <c r="L890" s="25"/>
      <c r="M890" s="25"/>
      <c r="N890" s="27"/>
      <c r="O890" s="27"/>
      <c r="P890" s="27"/>
      <c r="Q890" s="27"/>
      <c r="R890" s="27"/>
      <c r="S890" s="28"/>
      <c r="T890" s="29"/>
      <c r="U890" s="29"/>
      <c r="V890" s="24"/>
      <c r="W890" s="24"/>
    </row>
    <row r="891">
      <c r="A891" s="11">
        <v>45816.0</v>
      </c>
      <c r="B891" s="25"/>
      <c r="C891" s="25"/>
      <c r="D891" s="25"/>
      <c r="E891" s="25"/>
      <c r="F891" s="26"/>
      <c r="G891" s="25"/>
      <c r="H891" s="25"/>
      <c r="I891" s="25"/>
      <c r="J891" s="25"/>
      <c r="K891" s="25"/>
      <c r="L891" s="25"/>
      <c r="M891" s="25"/>
      <c r="N891" s="27"/>
      <c r="O891" s="27"/>
      <c r="P891" s="27"/>
      <c r="Q891" s="27"/>
      <c r="R891" s="27"/>
      <c r="S891" s="28"/>
      <c r="T891" s="29"/>
      <c r="U891" s="29"/>
      <c r="V891" s="24"/>
      <c r="W891" s="24"/>
    </row>
    <row r="892">
      <c r="A892" s="11">
        <v>45817.0</v>
      </c>
      <c r="B892" s="17">
        <v>17.0</v>
      </c>
      <c r="C892" s="17">
        <v>27.0</v>
      </c>
      <c r="D892" s="17" t="s">
        <v>64</v>
      </c>
      <c r="E892" s="17">
        <v>26.0</v>
      </c>
      <c r="F892" s="18">
        <v>60.0</v>
      </c>
      <c r="G892" s="17"/>
      <c r="H892" s="17">
        <v>8.35</v>
      </c>
      <c r="I892" s="17">
        <v>0.018</v>
      </c>
      <c r="J892" s="17">
        <v>8.1</v>
      </c>
      <c r="K892" s="17">
        <v>10.53</v>
      </c>
      <c r="L892" s="17">
        <v>16.0</v>
      </c>
      <c r="M892" s="17">
        <v>10.0</v>
      </c>
      <c r="N892" s="30">
        <v>5.0</v>
      </c>
      <c r="O892" s="30">
        <v>2.0</v>
      </c>
      <c r="P892" s="27"/>
      <c r="Q892" s="27"/>
      <c r="R892" s="27"/>
      <c r="S892" s="31">
        <v>6.24</v>
      </c>
      <c r="T892" s="32" t="s">
        <v>97</v>
      </c>
      <c r="U892" s="32"/>
      <c r="V892" s="24"/>
      <c r="W892" s="24"/>
    </row>
    <row r="893">
      <c r="A893" s="11">
        <v>45818.0</v>
      </c>
      <c r="B893" s="17">
        <v>18.0</v>
      </c>
      <c r="C893" s="17">
        <v>29.0</v>
      </c>
      <c r="D893" s="17" t="s">
        <v>64</v>
      </c>
      <c r="E893" s="17">
        <v>24.3</v>
      </c>
      <c r="F893" s="18">
        <v>81.0</v>
      </c>
      <c r="G893" s="17"/>
      <c r="H893" s="17">
        <v>8.1</v>
      </c>
      <c r="I893" s="17">
        <v>0.258</v>
      </c>
      <c r="J893" s="17">
        <v>8.3</v>
      </c>
      <c r="K893" s="17">
        <v>17.64</v>
      </c>
      <c r="L893" s="17">
        <v>16.0</v>
      </c>
      <c r="M893" s="17">
        <v>25.0</v>
      </c>
      <c r="N893" s="30">
        <v>2.0</v>
      </c>
      <c r="O893" s="30">
        <v>0.0</v>
      </c>
      <c r="P893" s="27"/>
      <c r="Q893" s="27"/>
      <c r="R893" s="27"/>
      <c r="S893" s="28"/>
      <c r="T893" s="29"/>
      <c r="U893" s="29"/>
      <c r="V893" s="36">
        <v>240000.0</v>
      </c>
      <c r="W893" s="36">
        <v>200000.0</v>
      </c>
    </row>
    <row r="894">
      <c r="A894" s="11">
        <v>45819.0</v>
      </c>
      <c r="B894" s="17">
        <v>18.0</v>
      </c>
      <c r="C894" s="17">
        <v>29.0</v>
      </c>
      <c r="D894" s="17" t="s">
        <v>64</v>
      </c>
      <c r="E894" s="17">
        <v>22.5</v>
      </c>
      <c r="F894" s="18">
        <v>96.0</v>
      </c>
      <c r="G894" s="17"/>
      <c r="H894" s="17">
        <v>8.1</v>
      </c>
      <c r="I894" s="17">
        <v>0.258</v>
      </c>
      <c r="J894" s="17">
        <v>8.5</v>
      </c>
      <c r="K894" s="17">
        <v>17.68</v>
      </c>
      <c r="L894" s="17">
        <v>22.0</v>
      </c>
      <c r="M894" s="17">
        <v>17.0</v>
      </c>
      <c r="N894" s="27"/>
      <c r="O894" s="27"/>
      <c r="P894" s="27"/>
      <c r="Q894" s="27"/>
      <c r="R894" s="27"/>
      <c r="S894" s="28"/>
      <c r="T894" s="29"/>
      <c r="U894" s="29"/>
      <c r="V894" s="24"/>
      <c r="W894" s="24"/>
    </row>
    <row r="895">
      <c r="A895" s="11">
        <v>45820.0</v>
      </c>
      <c r="B895" s="17">
        <v>19.0</v>
      </c>
      <c r="C895" s="17">
        <v>31.0</v>
      </c>
      <c r="D895" s="17" t="s">
        <v>73</v>
      </c>
      <c r="E895" s="17">
        <v>25.7</v>
      </c>
      <c r="F895" s="18">
        <v>81.0</v>
      </c>
      <c r="G895" s="17"/>
      <c r="H895" s="17">
        <v>8.1</v>
      </c>
      <c r="I895" s="17">
        <v>0.258</v>
      </c>
      <c r="J895" s="17">
        <v>8.1</v>
      </c>
      <c r="K895" s="17">
        <v>17.68</v>
      </c>
      <c r="L895" s="17">
        <v>21.0</v>
      </c>
      <c r="M895" s="17">
        <v>21.0</v>
      </c>
      <c r="N895" s="30">
        <v>4.0</v>
      </c>
      <c r="O895" s="30">
        <v>2.0</v>
      </c>
      <c r="P895" s="27"/>
      <c r="Q895" s="38" t="s">
        <v>98</v>
      </c>
      <c r="R895" s="38"/>
      <c r="S895" s="28"/>
      <c r="T895" s="29"/>
      <c r="U895" s="29"/>
      <c r="V895" s="24"/>
      <c r="W895" s="24"/>
    </row>
    <row r="896">
      <c r="A896" s="11">
        <v>45821.0</v>
      </c>
      <c r="B896" s="17">
        <v>18.0</v>
      </c>
      <c r="C896" s="17">
        <v>31.0</v>
      </c>
      <c r="D896" s="17" t="s">
        <v>64</v>
      </c>
      <c r="E896" s="17">
        <v>26.4</v>
      </c>
      <c r="F896" s="18">
        <v>79.0</v>
      </c>
      <c r="G896" s="17"/>
      <c r="H896" s="17">
        <v>8.1</v>
      </c>
      <c r="I896" s="17">
        <v>0.258</v>
      </c>
      <c r="J896" s="17">
        <v>8.0</v>
      </c>
      <c r="K896" s="17">
        <v>17.68</v>
      </c>
      <c r="L896" s="17">
        <v>21.0</v>
      </c>
      <c r="M896" s="17">
        <v>19.0</v>
      </c>
      <c r="N896" s="27"/>
      <c r="O896" s="27"/>
      <c r="P896" s="27"/>
      <c r="Q896" s="27"/>
      <c r="R896" s="27"/>
      <c r="S896" s="28"/>
      <c r="T896" s="29"/>
      <c r="U896" s="29"/>
      <c r="V896" s="36">
        <v>250000.0</v>
      </c>
      <c r="W896" s="36">
        <v>260000.0</v>
      </c>
    </row>
    <row r="897">
      <c r="A897" s="11">
        <v>45822.0</v>
      </c>
      <c r="B897" s="25"/>
      <c r="C897" s="25"/>
      <c r="D897" s="25"/>
      <c r="E897" s="25"/>
      <c r="F897" s="26"/>
      <c r="G897" s="25"/>
      <c r="H897" s="25"/>
      <c r="I897" s="25"/>
      <c r="J897" s="25"/>
      <c r="K897" s="25"/>
      <c r="L897" s="25"/>
      <c r="M897" s="25"/>
      <c r="N897" s="27"/>
      <c r="O897" s="27"/>
      <c r="P897" s="27"/>
      <c r="Q897" s="27"/>
      <c r="R897" s="27"/>
      <c r="S897" s="28"/>
      <c r="T897" s="29"/>
      <c r="U897" s="29"/>
      <c r="V897" s="24"/>
      <c r="W897" s="24"/>
    </row>
    <row r="898">
      <c r="A898" s="11">
        <v>45823.0</v>
      </c>
      <c r="B898" s="25"/>
      <c r="C898" s="25"/>
      <c r="D898" s="25"/>
      <c r="E898" s="25"/>
      <c r="F898" s="26"/>
      <c r="G898" s="25"/>
      <c r="H898" s="25"/>
      <c r="I898" s="25"/>
      <c r="J898" s="25"/>
      <c r="K898" s="25"/>
      <c r="L898" s="25"/>
      <c r="M898" s="25"/>
      <c r="N898" s="27"/>
      <c r="O898" s="27"/>
      <c r="P898" s="27"/>
      <c r="Q898" s="27"/>
      <c r="R898" s="27"/>
      <c r="S898" s="28"/>
      <c r="T898" s="29"/>
      <c r="U898" s="29"/>
      <c r="V898" s="24"/>
      <c r="W898" s="24"/>
    </row>
    <row r="899">
      <c r="A899" s="11">
        <v>45824.0</v>
      </c>
      <c r="B899" s="17">
        <v>18.0</v>
      </c>
      <c r="C899" s="17">
        <v>34.0</v>
      </c>
      <c r="D899" s="17" t="s">
        <v>64</v>
      </c>
      <c r="E899" s="17">
        <v>26.1</v>
      </c>
      <c r="F899" s="18">
        <v>60.0</v>
      </c>
      <c r="G899" s="17"/>
      <c r="H899" s="17">
        <v>8.5</v>
      </c>
      <c r="I899" s="17">
        <v>0.008</v>
      </c>
      <c r="J899" s="17">
        <v>7.7</v>
      </c>
      <c r="K899" s="17">
        <v>17.68</v>
      </c>
      <c r="L899" s="17">
        <v>19.0</v>
      </c>
      <c r="M899" s="17">
        <v>21.0</v>
      </c>
      <c r="N899" s="30">
        <v>18.0</v>
      </c>
      <c r="O899" s="30">
        <v>2.0</v>
      </c>
      <c r="P899" s="27"/>
      <c r="Q899" s="30" t="s">
        <v>98</v>
      </c>
      <c r="R899" s="30"/>
      <c r="S899" s="28"/>
      <c r="T899" s="29"/>
      <c r="U899" s="29"/>
      <c r="V899" s="36">
        <v>310000.0</v>
      </c>
      <c r="W899" s="36">
        <v>260000.0</v>
      </c>
    </row>
    <row r="900">
      <c r="A900" s="11">
        <v>45825.0</v>
      </c>
      <c r="B900" s="17">
        <v>20.0</v>
      </c>
      <c r="C900" s="17">
        <v>25.0</v>
      </c>
      <c r="D900" s="17" t="s">
        <v>79</v>
      </c>
      <c r="E900" s="17">
        <v>24.1</v>
      </c>
      <c r="F900" s="18">
        <v>58.0</v>
      </c>
      <c r="G900" s="17"/>
      <c r="H900" s="17">
        <v>8.06</v>
      </c>
      <c r="I900" s="17">
        <v>0.019</v>
      </c>
      <c r="J900" s="17">
        <v>8.3</v>
      </c>
      <c r="K900" s="17">
        <v>17.54</v>
      </c>
      <c r="L900" s="17">
        <v>20.0</v>
      </c>
      <c r="M900" s="17">
        <v>22.0</v>
      </c>
      <c r="N900" s="30"/>
      <c r="O900" s="30"/>
      <c r="P900" s="27"/>
      <c r="Q900" s="27"/>
      <c r="R900" s="27"/>
      <c r="S900" s="31">
        <v>4.08</v>
      </c>
      <c r="T900" s="32" t="s">
        <v>99</v>
      </c>
      <c r="U900" s="32"/>
      <c r="V900" s="24"/>
      <c r="W900" s="24"/>
    </row>
    <row r="901">
      <c r="A901" s="11">
        <v>45826.0</v>
      </c>
      <c r="B901" s="17">
        <v>21.0</v>
      </c>
      <c r="C901" s="17">
        <v>26.0</v>
      </c>
      <c r="D901" s="17" t="s">
        <v>64</v>
      </c>
      <c r="E901" s="17">
        <v>23.5</v>
      </c>
      <c r="F901" s="18">
        <v>59.0</v>
      </c>
      <c r="G901" s="17"/>
      <c r="H901" s="17">
        <v>8.44</v>
      </c>
      <c r="I901" s="17">
        <v>0.002</v>
      </c>
      <c r="J901" s="17">
        <v>8.4</v>
      </c>
      <c r="K901" s="17">
        <v>8.31</v>
      </c>
      <c r="L901" s="17">
        <v>23.0</v>
      </c>
      <c r="M901" s="17">
        <v>20.0</v>
      </c>
      <c r="N901" s="27"/>
      <c r="O901" s="27"/>
      <c r="P901" s="27"/>
      <c r="Q901" s="27"/>
      <c r="R901" s="27"/>
      <c r="S901" s="28"/>
      <c r="T901" s="29"/>
      <c r="U901" s="29"/>
      <c r="V901" s="36">
        <v>370000.0</v>
      </c>
      <c r="W901" s="36">
        <v>240000.0</v>
      </c>
    </row>
    <row r="902">
      <c r="A902" s="11">
        <v>45827.0</v>
      </c>
      <c r="B902" s="17">
        <v>18.0</v>
      </c>
      <c r="C902" s="17">
        <v>31.0</v>
      </c>
      <c r="D902" s="17" t="s">
        <v>64</v>
      </c>
      <c r="E902" s="17">
        <v>25.5</v>
      </c>
      <c r="F902" s="18">
        <v>55.0</v>
      </c>
      <c r="G902" s="17"/>
      <c r="H902" s="17">
        <v>8.74</v>
      </c>
      <c r="I902" s="17">
        <v>0.01</v>
      </c>
      <c r="J902" s="17">
        <v>8.1</v>
      </c>
      <c r="K902" s="17">
        <v>4.94</v>
      </c>
      <c r="L902" s="17">
        <v>23.0</v>
      </c>
      <c r="M902" s="17">
        <v>18.0</v>
      </c>
      <c r="N902" s="27"/>
      <c r="O902" s="27"/>
      <c r="P902" s="27"/>
      <c r="Q902" s="27"/>
      <c r="R902" s="27"/>
      <c r="S902" s="28"/>
      <c r="T902" s="29"/>
      <c r="U902" s="29"/>
      <c r="V902" s="24"/>
      <c r="W902" s="24"/>
    </row>
    <row r="903">
      <c r="A903" s="11">
        <v>45828.0</v>
      </c>
      <c r="B903" s="17">
        <v>19.0</v>
      </c>
      <c r="C903" s="17">
        <v>31.0</v>
      </c>
      <c r="D903" s="17" t="s">
        <v>64</v>
      </c>
      <c r="E903" s="17">
        <v>28.3</v>
      </c>
      <c r="F903" s="18">
        <v>60.0</v>
      </c>
      <c r="G903" s="17"/>
      <c r="H903" s="17">
        <v>8.99</v>
      </c>
      <c r="I903" s="17">
        <v>0.004</v>
      </c>
      <c r="J903" s="17">
        <v>7.7</v>
      </c>
      <c r="K903" s="17">
        <v>2.36</v>
      </c>
      <c r="L903" s="17">
        <v>16.0</v>
      </c>
      <c r="M903" s="17">
        <v>17.0</v>
      </c>
      <c r="N903" s="27"/>
      <c r="O903" s="27"/>
      <c r="P903" s="27"/>
      <c r="Q903" s="27"/>
      <c r="R903" s="30"/>
      <c r="S903" s="28"/>
      <c r="T903" s="29"/>
      <c r="U903" s="29"/>
      <c r="V903" s="36">
        <v>410000.0</v>
      </c>
      <c r="W903" s="36">
        <v>290000.0</v>
      </c>
    </row>
    <row r="904">
      <c r="A904" s="11">
        <v>45829.0</v>
      </c>
      <c r="B904" s="17"/>
      <c r="C904" s="17"/>
      <c r="D904" s="17"/>
      <c r="E904" s="17"/>
      <c r="F904" s="18"/>
      <c r="G904" s="17"/>
      <c r="H904" s="17"/>
      <c r="I904" s="17"/>
      <c r="J904" s="17"/>
      <c r="K904" s="17"/>
      <c r="L904" s="17"/>
      <c r="M904" s="17"/>
      <c r="N904" s="27"/>
      <c r="O904" s="27"/>
      <c r="P904" s="27"/>
      <c r="Q904" s="27"/>
      <c r="R904" s="27"/>
      <c r="S904" s="28"/>
      <c r="T904" s="29"/>
      <c r="U904" s="29"/>
      <c r="V904" s="24"/>
      <c r="W904" s="24"/>
    </row>
    <row r="905">
      <c r="A905" s="11">
        <v>45830.0</v>
      </c>
      <c r="B905" s="25"/>
      <c r="C905" s="25"/>
      <c r="D905" s="25"/>
      <c r="E905" s="25"/>
      <c r="F905" s="26"/>
      <c r="G905" s="25"/>
      <c r="H905" s="25"/>
      <c r="I905" s="25"/>
      <c r="J905" s="25"/>
      <c r="K905" s="25"/>
      <c r="L905" s="25"/>
      <c r="M905" s="25"/>
      <c r="N905" s="30">
        <v>2.0</v>
      </c>
      <c r="O905" s="30">
        <v>2.0</v>
      </c>
      <c r="P905" s="27"/>
      <c r="Q905" s="27"/>
      <c r="R905" s="27"/>
      <c r="S905" s="28"/>
      <c r="T905" s="29"/>
      <c r="U905" s="29"/>
      <c r="V905" s="24"/>
      <c r="W905" s="24"/>
    </row>
    <row r="906">
      <c r="A906" s="11">
        <v>45831.0</v>
      </c>
      <c r="B906" s="17">
        <v>19.0</v>
      </c>
      <c r="C906" s="17">
        <v>31.0</v>
      </c>
      <c r="D906" s="17" t="s">
        <v>64</v>
      </c>
      <c r="E906" s="17">
        <v>26.1</v>
      </c>
      <c r="F906" s="18">
        <v>60.0</v>
      </c>
      <c r="G906" s="17"/>
      <c r="H906" s="17">
        <v>8.03</v>
      </c>
      <c r="I906" s="17">
        <v>0.004</v>
      </c>
      <c r="J906" s="17">
        <v>8.0</v>
      </c>
      <c r="K906" s="17">
        <v>2.36</v>
      </c>
      <c r="L906" s="17">
        <v>17.0</v>
      </c>
      <c r="M906" s="17">
        <v>15.0</v>
      </c>
      <c r="N906" s="27"/>
      <c r="O906" s="27"/>
      <c r="P906" s="27"/>
      <c r="Q906" s="27"/>
      <c r="R906" s="27"/>
      <c r="S906" s="28"/>
      <c r="T906" s="29"/>
      <c r="U906" s="29"/>
      <c r="V906" s="36">
        <v>370000.0</v>
      </c>
      <c r="W906" s="36">
        <v>290000.0</v>
      </c>
    </row>
    <row r="907">
      <c r="A907" s="11">
        <v>45832.0</v>
      </c>
      <c r="B907" s="17">
        <v>20.0</v>
      </c>
      <c r="C907" s="17">
        <v>33.0</v>
      </c>
      <c r="D907" s="17" t="s">
        <v>64</v>
      </c>
      <c r="E907" s="17">
        <v>26.3</v>
      </c>
      <c r="F907" s="18">
        <v>64.0</v>
      </c>
      <c r="G907" s="17"/>
      <c r="H907" s="17">
        <v>8.39</v>
      </c>
      <c r="I907" s="17">
        <v>0.004</v>
      </c>
      <c r="J907" s="17">
        <v>8.0</v>
      </c>
      <c r="K907" s="17">
        <v>7.52</v>
      </c>
      <c r="L907" s="17">
        <v>16.0</v>
      </c>
      <c r="M907" s="17">
        <v>18.0</v>
      </c>
      <c r="N907" s="30">
        <v>3.0</v>
      </c>
      <c r="O907" s="30">
        <v>4.0</v>
      </c>
      <c r="P907" s="27"/>
      <c r="Q907" s="30" t="s">
        <v>98</v>
      </c>
      <c r="R907" s="27"/>
      <c r="S907" s="31">
        <v>5.95</v>
      </c>
      <c r="T907" s="32" t="s">
        <v>100</v>
      </c>
      <c r="U907" s="32"/>
      <c r="V907" s="24"/>
      <c r="W907" s="24"/>
    </row>
    <row r="908">
      <c r="A908" s="11">
        <v>45833.0</v>
      </c>
      <c r="B908" s="17">
        <v>21.0</v>
      </c>
      <c r="C908" s="17">
        <v>33.0</v>
      </c>
      <c r="D908" s="17" t="s">
        <v>64</v>
      </c>
      <c r="E908" s="17">
        <v>26.9</v>
      </c>
      <c r="F908" s="18">
        <v>81.0</v>
      </c>
      <c r="G908" s="17"/>
      <c r="H908" s="17">
        <v>8.17</v>
      </c>
      <c r="I908" s="17">
        <v>0.002</v>
      </c>
      <c r="J908" s="17">
        <v>7.9</v>
      </c>
      <c r="K908" s="17">
        <v>11.53</v>
      </c>
      <c r="L908" s="17">
        <v>19.0</v>
      </c>
      <c r="M908" s="17">
        <v>20.0</v>
      </c>
      <c r="N908" s="30">
        <v>6.0</v>
      </c>
      <c r="O908" s="30">
        <v>2.0</v>
      </c>
      <c r="P908" s="27"/>
      <c r="Q908" s="27"/>
      <c r="R908" s="27"/>
      <c r="S908" s="28"/>
      <c r="T908" s="29"/>
      <c r="U908" s="29"/>
      <c r="V908" s="24"/>
      <c r="W908" s="24"/>
    </row>
    <row r="909">
      <c r="A909" s="11">
        <v>45834.0</v>
      </c>
      <c r="B909" s="17">
        <v>22.0</v>
      </c>
      <c r="C909" s="17">
        <v>34.0</v>
      </c>
      <c r="D909" s="17" t="s">
        <v>64</v>
      </c>
      <c r="E909" s="17">
        <v>28.7</v>
      </c>
      <c r="F909" s="18">
        <v>77.0</v>
      </c>
      <c r="G909" s="17"/>
      <c r="H909" s="17">
        <v>8.68</v>
      </c>
      <c r="I909" s="17">
        <v>0.002</v>
      </c>
      <c r="J909" s="17">
        <v>7.6</v>
      </c>
      <c r="K909" s="17">
        <v>3.84</v>
      </c>
      <c r="L909" s="17">
        <v>16.0</v>
      </c>
      <c r="M909" s="17">
        <v>20.0</v>
      </c>
      <c r="N909" s="27"/>
      <c r="O909" s="27"/>
      <c r="P909" s="27"/>
      <c r="Q909" s="27"/>
      <c r="R909" s="27"/>
      <c r="S909" s="28"/>
      <c r="T909" s="29"/>
      <c r="U909" s="29"/>
      <c r="V909" s="36">
        <v>450000.0</v>
      </c>
      <c r="W909" s="36">
        <v>380000.0</v>
      </c>
    </row>
    <row r="910">
      <c r="A910" s="11">
        <v>45835.0</v>
      </c>
      <c r="B910" s="17">
        <v>23.0</v>
      </c>
      <c r="C910" s="17">
        <v>33.0</v>
      </c>
      <c r="D910" s="17" t="s">
        <v>64</v>
      </c>
      <c r="E910" s="17">
        <v>32.4</v>
      </c>
      <c r="F910" s="18">
        <v>53.0</v>
      </c>
      <c r="G910" s="17"/>
      <c r="H910" s="17"/>
      <c r="I910" s="17"/>
      <c r="J910" s="17"/>
      <c r="K910" s="17"/>
      <c r="L910" s="17">
        <v>16.0</v>
      </c>
      <c r="M910" s="17">
        <v>20.0</v>
      </c>
      <c r="N910" s="30">
        <v>15.0</v>
      </c>
      <c r="O910" s="27"/>
      <c r="P910" s="27"/>
      <c r="Q910" s="27"/>
      <c r="R910" s="30"/>
      <c r="S910" s="28"/>
      <c r="T910" s="29"/>
      <c r="U910" s="29"/>
      <c r="V910" s="24"/>
      <c r="W910" s="24"/>
    </row>
    <row r="911">
      <c r="A911" s="11">
        <v>45836.0</v>
      </c>
      <c r="B911" s="17"/>
      <c r="C911" s="17"/>
      <c r="D911" s="17"/>
      <c r="E911" s="17"/>
      <c r="F911" s="18"/>
      <c r="G911" s="17"/>
      <c r="H911" s="17"/>
      <c r="I911" s="17"/>
      <c r="J911" s="17"/>
      <c r="K911" s="17"/>
      <c r="L911" s="17"/>
      <c r="M911" s="17"/>
      <c r="N911" s="30"/>
      <c r="O911" s="27"/>
      <c r="P911" s="27"/>
      <c r="Q911" s="27"/>
      <c r="R911" s="27"/>
      <c r="S911" s="28"/>
      <c r="T911" s="29"/>
      <c r="U911" s="29"/>
      <c r="V911" s="24"/>
      <c r="W911" s="24"/>
    </row>
    <row r="912">
      <c r="A912" s="11">
        <v>45837.0</v>
      </c>
      <c r="B912" s="25"/>
      <c r="C912" s="25"/>
      <c r="D912" s="25"/>
      <c r="E912" s="25"/>
      <c r="F912" s="26"/>
      <c r="G912" s="39" t="s">
        <v>101</v>
      </c>
      <c r="H912" s="25"/>
      <c r="I912" s="25"/>
      <c r="J912" s="25"/>
      <c r="K912" s="25"/>
      <c r="L912" s="25"/>
      <c r="M912" s="25"/>
      <c r="N912" s="30">
        <v>10.0</v>
      </c>
      <c r="O912" s="27"/>
      <c r="P912" s="27"/>
      <c r="Q912" s="27"/>
      <c r="R912" s="27"/>
      <c r="S912" s="28"/>
      <c r="T912" s="29"/>
      <c r="U912" s="29"/>
      <c r="V912" s="24"/>
      <c r="W912" s="24"/>
    </row>
    <row r="913">
      <c r="A913" s="11">
        <v>45838.0</v>
      </c>
      <c r="B913" s="17">
        <v>21.0</v>
      </c>
      <c r="C913" s="17">
        <v>34.0</v>
      </c>
      <c r="D913" s="17" t="s">
        <v>64</v>
      </c>
      <c r="E913" s="17">
        <v>32.0</v>
      </c>
      <c r="F913" s="18">
        <v>105.0</v>
      </c>
      <c r="G913" s="17"/>
      <c r="H913" s="17"/>
      <c r="I913" s="17"/>
      <c r="J913" s="17"/>
      <c r="K913" s="17"/>
      <c r="L913" s="17">
        <v>20.0</v>
      </c>
      <c r="M913" s="17">
        <v>22.0</v>
      </c>
      <c r="N913" s="30">
        <v>7.0</v>
      </c>
      <c r="O913" s="30">
        <v>2.0</v>
      </c>
      <c r="P913" s="27"/>
      <c r="Q913" s="27"/>
      <c r="R913" s="27"/>
      <c r="S913" s="28"/>
      <c r="T913" s="29"/>
      <c r="U913" s="29"/>
      <c r="V913" s="36">
        <v>610000.0</v>
      </c>
      <c r="W913" s="24"/>
    </row>
    <row r="914">
      <c r="A914" s="11">
        <v>45839.0</v>
      </c>
      <c r="B914" s="17">
        <v>21.0</v>
      </c>
      <c r="C914" s="17">
        <v>35.0</v>
      </c>
      <c r="D914" s="17" t="s">
        <v>64</v>
      </c>
      <c r="E914" s="17">
        <v>32.4</v>
      </c>
      <c r="F914" s="18">
        <v>105.0</v>
      </c>
      <c r="G914" s="17"/>
      <c r="H914" s="17"/>
      <c r="I914" s="17"/>
      <c r="J914" s="17"/>
      <c r="K914" s="17"/>
      <c r="L914" s="17">
        <v>20.0</v>
      </c>
      <c r="M914" s="17">
        <v>22.0</v>
      </c>
      <c r="N914" s="30">
        <v>5.0</v>
      </c>
      <c r="O914" s="27"/>
      <c r="P914" s="27"/>
      <c r="Q914" s="30" t="s">
        <v>98</v>
      </c>
      <c r="R914" s="27"/>
      <c r="S914" s="31">
        <v>7.69</v>
      </c>
      <c r="T914" s="32" t="s">
        <v>102</v>
      </c>
      <c r="U914" s="32"/>
      <c r="V914" s="24"/>
      <c r="W914" s="24"/>
    </row>
    <row r="915">
      <c r="A915" s="11">
        <v>45840.0</v>
      </c>
      <c r="B915" s="17">
        <v>21.0</v>
      </c>
      <c r="C915" s="17">
        <v>34.0</v>
      </c>
      <c r="D915" s="17" t="s">
        <v>64</v>
      </c>
      <c r="E915" s="17">
        <v>32.4</v>
      </c>
      <c r="F915" s="18">
        <v>106.0</v>
      </c>
      <c r="G915" s="17"/>
      <c r="H915" s="17"/>
      <c r="I915" s="17"/>
      <c r="J915" s="17"/>
      <c r="K915" s="17"/>
      <c r="L915" s="17">
        <v>21.0</v>
      </c>
      <c r="M915" s="17">
        <v>23.0</v>
      </c>
      <c r="N915" s="30">
        <v>8.0</v>
      </c>
      <c r="O915" s="27"/>
      <c r="P915" s="27"/>
      <c r="Q915" s="27"/>
      <c r="R915" s="27"/>
      <c r="S915" s="28"/>
      <c r="T915" s="29"/>
      <c r="U915" s="29"/>
      <c r="V915" s="24"/>
      <c r="W915" s="24"/>
    </row>
    <row r="916">
      <c r="A916" s="11">
        <v>45841.0</v>
      </c>
      <c r="B916" s="17">
        <v>22.0</v>
      </c>
      <c r="C916" s="17">
        <v>35.0</v>
      </c>
      <c r="D916" s="17" t="s">
        <v>64</v>
      </c>
      <c r="E916" s="17">
        <v>32.4</v>
      </c>
      <c r="F916" s="18">
        <v>110.0</v>
      </c>
      <c r="G916" s="17"/>
      <c r="H916" s="17"/>
      <c r="I916" s="17"/>
      <c r="J916" s="17"/>
      <c r="K916" s="17"/>
      <c r="L916" s="17">
        <v>23.0</v>
      </c>
      <c r="M916" s="17">
        <v>24.0</v>
      </c>
      <c r="N916" s="30">
        <v>5.0</v>
      </c>
      <c r="O916" s="27"/>
      <c r="P916" s="27"/>
      <c r="Q916" s="27"/>
      <c r="R916" s="27"/>
      <c r="S916" s="28"/>
      <c r="T916" s="29"/>
      <c r="U916" s="29"/>
      <c r="V916" s="36">
        <v>800000.0</v>
      </c>
      <c r="W916" s="36">
        <v>540000.0</v>
      </c>
    </row>
    <row r="917">
      <c r="A917" s="11">
        <v>45842.0</v>
      </c>
      <c r="B917" s="17">
        <v>26.0</v>
      </c>
      <c r="C917" s="17">
        <v>30.0</v>
      </c>
      <c r="D917" s="17" t="s">
        <v>64</v>
      </c>
      <c r="E917" s="17">
        <v>32.4</v>
      </c>
      <c r="F917" s="18">
        <v>80.0</v>
      </c>
      <c r="G917" s="17"/>
      <c r="H917" s="17"/>
      <c r="I917" s="17"/>
      <c r="J917" s="17"/>
      <c r="K917" s="17"/>
      <c r="L917" s="17">
        <v>22.0</v>
      </c>
      <c r="M917" s="17">
        <v>24.0</v>
      </c>
      <c r="N917" s="27"/>
      <c r="O917" s="27"/>
      <c r="P917" s="27"/>
      <c r="Q917" s="27"/>
      <c r="R917" s="27"/>
      <c r="S917" s="28"/>
      <c r="T917" s="29"/>
      <c r="U917" s="29"/>
      <c r="V917" s="36">
        <v>560000.0</v>
      </c>
      <c r="W917" s="24"/>
    </row>
    <row r="918">
      <c r="A918" s="11">
        <v>45843.0</v>
      </c>
      <c r="B918" s="25"/>
      <c r="C918" s="25"/>
      <c r="D918" s="25"/>
      <c r="E918" s="25"/>
      <c r="F918" s="26"/>
      <c r="G918" s="25"/>
      <c r="H918" s="25"/>
      <c r="I918" s="25"/>
      <c r="J918" s="25"/>
      <c r="K918" s="25"/>
      <c r="L918" s="25"/>
      <c r="M918" s="25"/>
      <c r="N918" s="27"/>
      <c r="O918" s="27"/>
      <c r="P918" s="27"/>
      <c r="Q918" s="27"/>
      <c r="R918" s="27"/>
      <c r="S918" s="28"/>
      <c r="T918" s="29"/>
      <c r="U918" s="29"/>
      <c r="V918" s="24"/>
      <c r="W918" s="24"/>
    </row>
    <row r="919">
      <c r="A919" s="11">
        <v>45844.0</v>
      </c>
      <c r="B919" s="25"/>
      <c r="C919" s="25"/>
      <c r="D919" s="25"/>
      <c r="E919" s="25"/>
      <c r="F919" s="26"/>
      <c r="G919" s="25"/>
      <c r="H919" s="25"/>
      <c r="I919" s="25"/>
      <c r="J919" s="25"/>
      <c r="K919" s="25"/>
      <c r="L919" s="25"/>
      <c r="M919" s="25"/>
      <c r="N919" s="27"/>
      <c r="O919" s="27"/>
      <c r="P919" s="27"/>
      <c r="Q919" s="27"/>
      <c r="R919" s="27"/>
      <c r="S919" s="28"/>
      <c r="T919" s="29"/>
      <c r="U919" s="29"/>
      <c r="V919" s="24"/>
      <c r="W919" s="24"/>
    </row>
    <row r="920">
      <c r="A920" s="11">
        <v>45845.0</v>
      </c>
      <c r="B920" s="17">
        <v>22.0</v>
      </c>
      <c r="C920" s="17">
        <v>32.0</v>
      </c>
      <c r="D920" s="17" t="s">
        <v>62</v>
      </c>
      <c r="E920" s="17">
        <v>32.4</v>
      </c>
      <c r="F920" s="18">
        <v>40.0</v>
      </c>
      <c r="G920" s="17"/>
      <c r="H920" s="17"/>
      <c r="I920" s="17"/>
      <c r="J920" s="17"/>
      <c r="K920" s="17"/>
      <c r="L920" s="17">
        <v>20.0</v>
      </c>
      <c r="M920" s="17">
        <v>19.0</v>
      </c>
      <c r="N920" s="27"/>
      <c r="O920" s="27"/>
      <c r="P920" s="27"/>
      <c r="Q920" s="27"/>
      <c r="R920" s="27"/>
      <c r="S920" s="28"/>
      <c r="T920" s="29"/>
      <c r="U920" s="29"/>
      <c r="V920" s="36">
        <v>420000.0</v>
      </c>
      <c r="W920" s="36">
        <v>250000.0</v>
      </c>
    </row>
    <row r="921">
      <c r="A921" s="11">
        <v>45846.0</v>
      </c>
      <c r="B921" s="17">
        <v>18.0</v>
      </c>
      <c r="C921" s="17">
        <v>27.0</v>
      </c>
      <c r="D921" s="17" t="s">
        <v>73</v>
      </c>
      <c r="E921" s="17">
        <v>32.4</v>
      </c>
      <c r="F921" s="18">
        <v>42.0</v>
      </c>
      <c r="G921" s="17"/>
      <c r="H921" s="17"/>
      <c r="I921" s="17"/>
      <c r="J921" s="17"/>
      <c r="K921" s="17"/>
      <c r="L921" s="17">
        <v>23.0</v>
      </c>
      <c r="M921" s="17">
        <v>25.0</v>
      </c>
      <c r="N921" s="30">
        <v>3.0</v>
      </c>
      <c r="O921" s="27"/>
      <c r="P921" s="27"/>
      <c r="Q921" s="27"/>
      <c r="R921" s="27"/>
      <c r="S921" s="31">
        <v>3.1</v>
      </c>
      <c r="T921" s="32"/>
      <c r="U921" s="32"/>
      <c r="V921" s="24"/>
      <c r="W921" s="24"/>
    </row>
    <row r="922">
      <c r="A922" s="11">
        <v>45847.0</v>
      </c>
      <c r="B922" s="25"/>
      <c r="C922" s="25"/>
      <c r="D922" s="17" t="s">
        <v>73</v>
      </c>
      <c r="E922" s="17">
        <v>32.4</v>
      </c>
      <c r="F922" s="18">
        <v>60.0</v>
      </c>
      <c r="G922" s="17"/>
      <c r="H922" s="17"/>
      <c r="I922" s="17"/>
      <c r="J922" s="17"/>
      <c r="K922" s="17"/>
      <c r="L922" s="17">
        <v>25.0</v>
      </c>
      <c r="M922" s="17">
        <v>25.0</v>
      </c>
      <c r="N922" s="30">
        <v>7.0</v>
      </c>
      <c r="O922" s="30">
        <v>1.0</v>
      </c>
      <c r="P922" s="27"/>
      <c r="Q922" s="30" t="s">
        <v>103</v>
      </c>
      <c r="R922" s="27"/>
      <c r="S922" s="28"/>
      <c r="T922" s="29"/>
      <c r="U922" s="29"/>
      <c r="V922" s="24"/>
      <c r="W922" s="24"/>
    </row>
    <row r="923">
      <c r="A923" s="11">
        <v>45848.0</v>
      </c>
      <c r="B923" s="17">
        <v>20.0</v>
      </c>
      <c r="C923" s="17">
        <v>25.0</v>
      </c>
      <c r="D923" s="17" t="s">
        <v>64</v>
      </c>
      <c r="E923" s="25"/>
      <c r="F923" s="18">
        <v>80.0</v>
      </c>
      <c r="G923" s="25"/>
      <c r="H923" s="25"/>
      <c r="I923" s="25"/>
      <c r="J923" s="25"/>
      <c r="K923" s="25"/>
      <c r="L923" s="17">
        <v>21.0</v>
      </c>
      <c r="M923" s="17">
        <v>21.0</v>
      </c>
      <c r="N923" s="30">
        <v>7.0</v>
      </c>
      <c r="O923" s="27"/>
      <c r="P923" s="27"/>
      <c r="Q923" s="27"/>
      <c r="R923" s="27"/>
      <c r="S923" s="28"/>
      <c r="T923" s="29"/>
      <c r="U923" s="29"/>
      <c r="V923" s="36">
        <v>360000.0</v>
      </c>
      <c r="W923" s="36">
        <v>170000.0</v>
      </c>
    </row>
    <row r="924">
      <c r="A924" s="11">
        <v>45849.0</v>
      </c>
      <c r="B924" s="17">
        <v>20.0</v>
      </c>
      <c r="C924" s="17">
        <v>25.0</v>
      </c>
      <c r="D924" s="17" t="s">
        <v>64</v>
      </c>
      <c r="E924" s="25"/>
      <c r="F924" s="18" t="s">
        <v>104</v>
      </c>
      <c r="G924" s="25"/>
      <c r="H924" s="25"/>
      <c r="I924" s="25"/>
      <c r="J924" s="25"/>
      <c r="K924" s="25"/>
      <c r="L924" s="17">
        <v>23.0</v>
      </c>
      <c r="M924" s="17">
        <v>23.0</v>
      </c>
      <c r="N924" s="27"/>
      <c r="O924" s="27"/>
      <c r="P924" s="27"/>
      <c r="Q924" s="27"/>
      <c r="R924" s="27"/>
      <c r="S924" s="28"/>
      <c r="T924" s="29"/>
      <c r="U924" s="29"/>
      <c r="V924" s="24"/>
      <c r="W924" s="36">
        <v>160000.0</v>
      </c>
    </row>
    <row r="925">
      <c r="A925" s="11">
        <v>45850.0</v>
      </c>
      <c r="B925" s="25"/>
      <c r="C925" s="25"/>
      <c r="D925" s="25"/>
      <c r="E925" s="25"/>
      <c r="F925" s="26"/>
      <c r="G925" s="25"/>
      <c r="H925" s="25"/>
      <c r="I925" s="25"/>
      <c r="J925" s="25"/>
      <c r="K925" s="25"/>
      <c r="L925" s="25"/>
      <c r="M925" s="25"/>
      <c r="N925" s="27"/>
      <c r="O925" s="27"/>
      <c r="P925" s="27"/>
      <c r="Q925" s="27"/>
      <c r="R925" s="27"/>
      <c r="S925" s="28"/>
      <c r="T925" s="29"/>
      <c r="U925" s="29"/>
      <c r="V925" s="24"/>
      <c r="W925" s="24"/>
    </row>
    <row r="926">
      <c r="A926" s="11">
        <v>45851.0</v>
      </c>
      <c r="B926" s="25"/>
      <c r="C926" s="25"/>
      <c r="D926" s="25"/>
      <c r="E926" s="25"/>
      <c r="F926" s="26"/>
      <c r="G926" s="25"/>
      <c r="H926" s="25"/>
      <c r="I926" s="25"/>
      <c r="J926" s="25"/>
      <c r="K926" s="25"/>
      <c r="L926" s="25"/>
      <c r="M926" s="25"/>
      <c r="N926" s="27"/>
      <c r="O926" s="27"/>
      <c r="P926" s="27"/>
      <c r="Q926" s="27"/>
      <c r="R926" s="27"/>
      <c r="S926" s="28"/>
      <c r="T926" s="29"/>
      <c r="U926" s="29"/>
      <c r="V926" s="24"/>
      <c r="W926" s="24"/>
    </row>
    <row r="927">
      <c r="A927" s="11">
        <v>45852.0</v>
      </c>
      <c r="B927" s="17">
        <v>22.0</v>
      </c>
      <c r="C927" s="17">
        <v>26.0</v>
      </c>
      <c r="D927" s="17" t="s">
        <v>64</v>
      </c>
      <c r="E927" s="17">
        <v>25.3</v>
      </c>
      <c r="F927" s="18">
        <v>84.0</v>
      </c>
      <c r="G927" s="17"/>
      <c r="H927" s="17">
        <v>7.4</v>
      </c>
      <c r="I927" s="17">
        <v>0.002</v>
      </c>
      <c r="J927" s="17">
        <v>8.1</v>
      </c>
      <c r="K927" s="25"/>
      <c r="L927" s="17">
        <v>24.0</v>
      </c>
      <c r="M927" s="17">
        <v>24.0</v>
      </c>
      <c r="N927" s="30">
        <v>8.0</v>
      </c>
      <c r="O927" s="27"/>
      <c r="P927" s="27"/>
      <c r="Q927" s="27"/>
      <c r="R927" s="27"/>
      <c r="S927" s="31">
        <v>6.94</v>
      </c>
      <c r="T927" s="32" t="s">
        <v>105</v>
      </c>
      <c r="U927" s="32"/>
      <c r="V927" s="24"/>
      <c r="W927" s="24"/>
    </row>
    <row r="928">
      <c r="A928" s="11">
        <v>45853.0</v>
      </c>
      <c r="B928" s="17">
        <v>23.0</v>
      </c>
      <c r="C928" s="17">
        <v>26.0</v>
      </c>
      <c r="D928" s="17" t="s">
        <v>64</v>
      </c>
      <c r="E928" s="25"/>
      <c r="F928" s="18">
        <v>98.0</v>
      </c>
      <c r="G928" s="25"/>
      <c r="H928" s="25"/>
      <c r="I928" s="25"/>
      <c r="J928" s="25"/>
      <c r="K928" s="25"/>
      <c r="L928" s="17">
        <v>24.0</v>
      </c>
      <c r="M928" s="17">
        <v>22.0</v>
      </c>
      <c r="N928" s="27"/>
      <c r="O928" s="27"/>
      <c r="P928" s="27"/>
      <c r="Q928" s="27"/>
      <c r="R928" s="27"/>
      <c r="S928" s="28"/>
      <c r="T928" s="29"/>
      <c r="U928" s="29"/>
      <c r="V928" s="24"/>
      <c r="W928" s="24"/>
    </row>
    <row r="929">
      <c r="A929" s="11">
        <v>45854.0</v>
      </c>
      <c r="B929" s="17">
        <v>22.0</v>
      </c>
      <c r="C929" s="17">
        <v>30.0</v>
      </c>
      <c r="D929" s="17" t="s">
        <v>73</v>
      </c>
      <c r="E929" s="25"/>
      <c r="F929" s="18">
        <v>88.0</v>
      </c>
      <c r="G929" s="25"/>
      <c r="H929" s="25"/>
      <c r="I929" s="25"/>
      <c r="J929" s="25"/>
      <c r="K929" s="25"/>
      <c r="L929" s="17">
        <v>23.0</v>
      </c>
      <c r="M929" s="17">
        <v>22.0</v>
      </c>
      <c r="N929" s="27"/>
      <c r="O929" s="27"/>
      <c r="P929" s="27"/>
      <c r="Q929" s="27"/>
      <c r="R929" s="27"/>
      <c r="S929" s="28"/>
      <c r="T929" s="29"/>
      <c r="U929" s="29"/>
      <c r="V929" s="24"/>
      <c r="W929" s="24"/>
    </row>
    <row r="930">
      <c r="A930" s="11">
        <v>45855.0</v>
      </c>
      <c r="B930" s="17">
        <v>19.0</v>
      </c>
      <c r="C930" s="17">
        <v>29.0</v>
      </c>
      <c r="D930" s="17" t="s">
        <v>62</v>
      </c>
      <c r="E930" s="25"/>
      <c r="F930" s="18">
        <v>96.0</v>
      </c>
      <c r="G930" s="25"/>
      <c r="H930" s="25"/>
      <c r="I930" s="25"/>
      <c r="J930" s="25"/>
      <c r="K930" s="25"/>
      <c r="L930" s="17">
        <v>24.0</v>
      </c>
      <c r="M930" s="17">
        <v>25.0</v>
      </c>
      <c r="N930" s="30">
        <v>4.0</v>
      </c>
      <c r="O930" s="30">
        <v>1.0</v>
      </c>
      <c r="P930" s="27"/>
      <c r="Q930" s="30" t="s">
        <v>98</v>
      </c>
      <c r="R930" s="27"/>
      <c r="S930" s="28"/>
      <c r="T930" s="29"/>
      <c r="U930" s="29"/>
      <c r="V930" s="36">
        <v>210000.0</v>
      </c>
      <c r="W930" s="36">
        <v>420000.0</v>
      </c>
    </row>
    <row r="931">
      <c r="A931" s="11">
        <v>45856.0</v>
      </c>
      <c r="B931" s="17">
        <v>22.0</v>
      </c>
      <c r="C931" s="17">
        <v>31.0</v>
      </c>
      <c r="D931" s="17" t="s">
        <v>64</v>
      </c>
      <c r="E931" s="25"/>
      <c r="F931" s="18">
        <v>76.0</v>
      </c>
      <c r="G931" s="25"/>
      <c r="H931" s="25"/>
      <c r="I931" s="25"/>
      <c r="J931" s="25"/>
      <c r="K931" s="25"/>
      <c r="L931" s="17">
        <v>24.0</v>
      </c>
      <c r="M931" s="17">
        <v>24.0</v>
      </c>
      <c r="N931" s="27"/>
      <c r="O931" s="27"/>
      <c r="P931" s="27"/>
      <c r="Q931" s="27"/>
      <c r="R931" s="30" t="s">
        <v>106</v>
      </c>
      <c r="S931" s="28"/>
      <c r="T931" s="29"/>
      <c r="U931" s="29"/>
      <c r="V931" s="24"/>
      <c r="W931" s="24"/>
    </row>
    <row r="932">
      <c r="A932" s="11">
        <v>45857.0</v>
      </c>
      <c r="B932" s="25"/>
      <c r="C932" s="25"/>
      <c r="D932" s="25"/>
      <c r="E932" s="25"/>
      <c r="F932" s="26"/>
      <c r="G932" s="25"/>
      <c r="H932" s="25"/>
      <c r="I932" s="25"/>
      <c r="J932" s="25"/>
      <c r="K932" s="25"/>
      <c r="L932" s="25"/>
      <c r="M932" s="25"/>
      <c r="N932" s="27"/>
      <c r="O932" s="27"/>
      <c r="P932" s="27"/>
      <c r="Q932" s="27"/>
      <c r="R932" s="27"/>
      <c r="S932" s="28"/>
      <c r="T932" s="29"/>
      <c r="U932" s="29"/>
      <c r="V932" s="24"/>
      <c r="W932" s="24"/>
    </row>
    <row r="933">
      <c r="A933" s="11">
        <v>45858.0</v>
      </c>
      <c r="B933" s="25"/>
      <c r="C933" s="25"/>
      <c r="D933" s="25"/>
      <c r="E933" s="25"/>
      <c r="F933" s="26"/>
      <c r="G933" s="25"/>
      <c r="H933" s="25"/>
      <c r="I933" s="25"/>
      <c r="J933" s="25"/>
      <c r="K933" s="25"/>
      <c r="L933" s="25"/>
      <c r="M933" s="25"/>
      <c r="N933" s="27"/>
      <c r="O933" s="27"/>
      <c r="P933" s="27"/>
      <c r="Q933" s="27"/>
      <c r="R933" s="27"/>
      <c r="S933" s="28"/>
      <c r="T933" s="29"/>
      <c r="U933" s="29"/>
      <c r="V933" s="24"/>
      <c r="W933" s="24"/>
    </row>
    <row r="934">
      <c r="A934" s="11">
        <v>45859.0</v>
      </c>
      <c r="B934" s="17">
        <v>23.0</v>
      </c>
      <c r="C934" s="17">
        <v>34.0</v>
      </c>
      <c r="D934" s="17" t="s">
        <v>64</v>
      </c>
      <c r="E934" s="25"/>
      <c r="F934" s="18">
        <v>60.0</v>
      </c>
      <c r="G934" s="25"/>
      <c r="H934" s="25"/>
      <c r="I934" s="25"/>
      <c r="J934" s="25"/>
      <c r="K934" s="25"/>
      <c r="L934" s="17">
        <v>25.0</v>
      </c>
      <c r="M934" s="25"/>
      <c r="N934" s="27"/>
      <c r="O934" s="27"/>
      <c r="P934" s="27"/>
      <c r="Q934" s="27"/>
      <c r="R934" s="27"/>
      <c r="S934" s="31">
        <v>2.31</v>
      </c>
      <c r="T934" s="32"/>
      <c r="U934" s="32"/>
      <c r="V934" s="24"/>
      <c r="W934" s="24"/>
    </row>
    <row r="935">
      <c r="A935" s="11">
        <v>45860.0</v>
      </c>
      <c r="B935" s="17">
        <v>23.0</v>
      </c>
      <c r="C935" s="17">
        <v>28.0</v>
      </c>
      <c r="D935" s="17" t="s">
        <v>64</v>
      </c>
      <c r="E935" s="17">
        <v>24.8</v>
      </c>
      <c r="F935" s="18">
        <v>58.0</v>
      </c>
      <c r="G935" s="25"/>
      <c r="H935" s="25"/>
      <c r="I935" s="25"/>
      <c r="J935" s="17">
        <v>8.2</v>
      </c>
      <c r="K935" s="25"/>
      <c r="L935" s="17">
        <v>22.0</v>
      </c>
      <c r="M935" s="17">
        <v>21.0</v>
      </c>
      <c r="N935" s="30">
        <v>10.0</v>
      </c>
      <c r="O935" s="27"/>
      <c r="P935" s="30">
        <v>1.0</v>
      </c>
      <c r="Q935" s="30" t="s">
        <v>98</v>
      </c>
      <c r="R935" s="27"/>
      <c r="S935" s="28"/>
      <c r="T935" s="29"/>
      <c r="U935" s="29"/>
      <c r="V935" s="36">
        <v>280000.0</v>
      </c>
      <c r="W935" s="36">
        <v>350000.0</v>
      </c>
    </row>
    <row r="936">
      <c r="A936" s="11">
        <v>45861.0</v>
      </c>
      <c r="B936" s="17">
        <v>25.0</v>
      </c>
      <c r="C936" s="17">
        <v>27.0</v>
      </c>
      <c r="D936" s="17" t="s">
        <v>64</v>
      </c>
      <c r="E936" s="17">
        <v>26.2</v>
      </c>
      <c r="F936" s="18">
        <v>125.0</v>
      </c>
      <c r="G936" s="25"/>
      <c r="H936" s="25"/>
      <c r="I936" s="25"/>
      <c r="J936" s="17">
        <v>8.0</v>
      </c>
      <c r="K936" s="25"/>
      <c r="L936" s="17">
        <v>20.0</v>
      </c>
      <c r="M936" s="17">
        <v>16.0</v>
      </c>
      <c r="N936" s="30">
        <v>3.0</v>
      </c>
      <c r="O936" s="27"/>
      <c r="P936" s="27"/>
      <c r="Q936" s="27"/>
      <c r="R936" s="27"/>
      <c r="S936" s="28"/>
      <c r="T936" s="29"/>
      <c r="U936" s="29"/>
      <c r="V936" s="36">
        <v>300000.0</v>
      </c>
      <c r="W936" s="24"/>
    </row>
    <row r="937">
      <c r="A937" s="11">
        <v>45862.0</v>
      </c>
      <c r="B937" s="17">
        <v>21.0</v>
      </c>
      <c r="C937" s="17">
        <v>31.0</v>
      </c>
      <c r="D937" s="17" t="s">
        <v>64</v>
      </c>
      <c r="E937" s="17">
        <v>25.6</v>
      </c>
      <c r="F937" s="18" t="s">
        <v>107</v>
      </c>
      <c r="G937" s="25"/>
      <c r="H937" s="25"/>
      <c r="I937" s="25"/>
      <c r="J937" s="17">
        <v>8.1</v>
      </c>
      <c r="K937" s="25"/>
      <c r="L937" s="17">
        <v>20.0</v>
      </c>
      <c r="M937" s="17">
        <v>22.0</v>
      </c>
      <c r="N937" s="27"/>
      <c r="O937" s="27"/>
      <c r="P937" s="27"/>
      <c r="Q937" s="27"/>
      <c r="R937" s="27"/>
      <c r="S937" s="28"/>
      <c r="T937" s="29"/>
      <c r="U937" s="29"/>
      <c r="V937" s="24"/>
      <c r="W937" s="24"/>
    </row>
    <row r="938">
      <c r="A938" s="11">
        <v>45863.0</v>
      </c>
      <c r="B938" s="17">
        <v>20.0</v>
      </c>
      <c r="C938" s="17">
        <v>24.0</v>
      </c>
      <c r="D938" s="17" t="s">
        <v>79</v>
      </c>
      <c r="E938" s="17">
        <v>28.0</v>
      </c>
      <c r="F938" s="18">
        <v>95.0</v>
      </c>
      <c r="G938" s="25"/>
      <c r="H938" s="25"/>
      <c r="I938" s="25"/>
      <c r="J938" s="17">
        <v>7.7</v>
      </c>
      <c r="K938" s="25"/>
      <c r="L938" s="17">
        <v>24.0</v>
      </c>
      <c r="M938" s="17">
        <v>20.0</v>
      </c>
      <c r="N938" s="27"/>
      <c r="O938" s="27"/>
      <c r="P938" s="27"/>
      <c r="Q938" s="27"/>
      <c r="R938" s="27"/>
      <c r="S938" s="28"/>
      <c r="T938" s="29"/>
      <c r="U938" s="29"/>
      <c r="V938" s="24"/>
      <c r="W938" s="24"/>
    </row>
    <row r="939">
      <c r="A939" s="11">
        <v>45864.0</v>
      </c>
      <c r="B939" s="25"/>
      <c r="C939" s="25"/>
      <c r="D939" s="25"/>
      <c r="E939" s="25"/>
      <c r="F939" s="26"/>
      <c r="G939" s="25"/>
      <c r="H939" s="25"/>
      <c r="I939" s="25"/>
      <c r="J939" s="25"/>
      <c r="K939" s="25"/>
      <c r="L939" s="25"/>
      <c r="M939" s="25"/>
      <c r="N939" s="27"/>
      <c r="O939" s="27"/>
      <c r="P939" s="27"/>
      <c r="Q939" s="27"/>
      <c r="R939" s="27"/>
      <c r="S939" s="28"/>
      <c r="T939" s="29"/>
      <c r="U939" s="29"/>
      <c r="V939" s="24"/>
      <c r="W939" s="24"/>
    </row>
    <row r="940">
      <c r="A940" s="11">
        <v>45865.0</v>
      </c>
      <c r="B940" s="25"/>
      <c r="C940" s="25"/>
      <c r="D940" s="25"/>
      <c r="E940" s="25"/>
      <c r="F940" s="26"/>
      <c r="G940" s="25"/>
      <c r="H940" s="25"/>
      <c r="I940" s="25"/>
      <c r="J940" s="25"/>
      <c r="K940" s="25"/>
      <c r="L940" s="25"/>
      <c r="M940" s="25"/>
      <c r="N940" s="27"/>
      <c r="O940" s="27"/>
      <c r="P940" s="27"/>
      <c r="Q940" s="30" t="s">
        <v>98</v>
      </c>
      <c r="R940" s="27"/>
      <c r="S940" s="28"/>
      <c r="T940" s="29"/>
      <c r="U940" s="29"/>
      <c r="V940" s="24"/>
      <c r="W940" s="24"/>
    </row>
    <row r="941">
      <c r="A941" s="11">
        <v>45866.0</v>
      </c>
      <c r="B941" s="17">
        <v>18.0</v>
      </c>
      <c r="C941" s="17">
        <v>23.0</v>
      </c>
      <c r="D941" s="17" t="s">
        <v>79</v>
      </c>
      <c r="E941" s="17">
        <v>28.0</v>
      </c>
      <c r="F941" s="18">
        <v>100.0</v>
      </c>
      <c r="G941" s="25"/>
      <c r="H941" s="25"/>
      <c r="I941" s="25"/>
      <c r="J941" s="25"/>
      <c r="K941" s="25"/>
      <c r="L941" s="17">
        <v>30.0</v>
      </c>
      <c r="M941" s="17">
        <v>25.0</v>
      </c>
      <c r="N941" s="27"/>
      <c r="O941" s="27"/>
      <c r="P941" s="27"/>
      <c r="Q941" s="27"/>
      <c r="R941" s="27"/>
      <c r="S941" s="28"/>
      <c r="T941" s="29"/>
      <c r="U941" s="29"/>
      <c r="V941" s="36">
        <v>400000.0</v>
      </c>
      <c r="W941" s="36">
        <v>190000.0</v>
      </c>
    </row>
    <row r="942">
      <c r="A942" s="11">
        <v>45867.0</v>
      </c>
      <c r="B942" s="17">
        <v>19.0</v>
      </c>
      <c r="C942" s="17">
        <v>25.0</v>
      </c>
      <c r="D942" s="17" t="s">
        <v>62</v>
      </c>
      <c r="E942" s="17">
        <v>26.0</v>
      </c>
      <c r="F942" s="18">
        <v>80.0</v>
      </c>
      <c r="G942" s="25"/>
      <c r="H942" s="25"/>
      <c r="I942" s="25"/>
      <c r="J942" s="25"/>
      <c r="K942" s="25"/>
      <c r="L942" s="17">
        <v>22.0</v>
      </c>
      <c r="M942" s="17">
        <v>26.0</v>
      </c>
      <c r="N942" s="30">
        <v>6.0</v>
      </c>
      <c r="O942" s="27"/>
      <c r="P942" s="30">
        <v>1.0</v>
      </c>
      <c r="Q942" s="27"/>
      <c r="R942" s="27"/>
      <c r="S942" s="28"/>
      <c r="T942" s="29"/>
      <c r="U942" s="29"/>
      <c r="V942" s="24"/>
      <c r="W942" s="24"/>
    </row>
    <row r="943">
      <c r="A943" s="11">
        <v>45868.0</v>
      </c>
      <c r="B943" s="17">
        <v>20.0</v>
      </c>
      <c r="C943" s="17">
        <v>27.0</v>
      </c>
      <c r="D943" s="17" t="s">
        <v>73</v>
      </c>
      <c r="E943" s="17">
        <v>27.0</v>
      </c>
      <c r="F943" s="18">
        <v>110.0</v>
      </c>
      <c r="G943" s="25"/>
      <c r="H943" s="25"/>
      <c r="I943" s="25"/>
      <c r="J943" s="25"/>
      <c r="K943" s="25"/>
      <c r="L943" s="17">
        <v>25.0</v>
      </c>
      <c r="M943" s="17">
        <v>24.0</v>
      </c>
      <c r="N943" s="27"/>
      <c r="O943" s="27"/>
      <c r="P943" s="27"/>
      <c r="Q943" s="27"/>
      <c r="R943" s="27"/>
      <c r="S943" s="28"/>
      <c r="T943" s="29"/>
      <c r="U943" s="29"/>
      <c r="V943" s="24"/>
      <c r="W943" s="24"/>
    </row>
    <row r="944">
      <c r="A944" s="11">
        <v>45869.0</v>
      </c>
      <c r="B944" s="17">
        <v>18.0</v>
      </c>
      <c r="C944" s="17">
        <v>29.0</v>
      </c>
      <c r="D944" s="17" t="s">
        <v>64</v>
      </c>
      <c r="E944" s="17">
        <v>28.0</v>
      </c>
      <c r="F944" s="18">
        <v>98.0</v>
      </c>
      <c r="I944" s="25"/>
      <c r="J944" s="17">
        <v>7.7</v>
      </c>
      <c r="K944" s="25"/>
      <c r="L944" s="17">
        <v>21.0</v>
      </c>
      <c r="M944" s="17">
        <v>20.0</v>
      </c>
      <c r="N944" s="27"/>
      <c r="O944" s="27"/>
      <c r="P944" s="27"/>
      <c r="Q944" s="27"/>
      <c r="R944" s="27"/>
      <c r="S944" s="28"/>
      <c r="T944" s="29"/>
      <c r="U944" s="29"/>
      <c r="V944" s="24"/>
      <c r="W944" s="24"/>
    </row>
    <row r="945">
      <c r="A945" s="11">
        <v>45870.0</v>
      </c>
      <c r="B945" s="17">
        <v>18.0</v>
      </c>
      <c r="C945" s="17">
        <v>29.0</v>
      </c>
      <c r="D945" s="17" t="s">
        <v>64</v>
      </c>
      <c r="E945" s="17">
        <v>28.0</v>
      </c>
      <c r="F945" s="18">
        <v>110.0</v>
      </c>
      <c r="G945" s="25"/>
      <c r="H945" s="25"/>
      <c r="I945" s="25"/>
      <c r="J945" s="25"/>
      <c r="K945" s="25"/>
      <c r="L945" s="17">
        <v>23.0</v>
      </c>
      <c r="M945" s="17">
        <v>25.0</v>
      </c>
      <c r="N945" s="27"/>
      <c r="O945" s="27"/>
      <c r="P945" s="27"/>
      <c r="Q945" s="27"/>
      <c r="R945" s="27"/>
      <c r="S945" s="28"/>
      <c r="T945" s="29"/>
      <c r="U945" s="29"/>
      <c r="V945" s="36">
        <v>390000.0</v>
      </c>
      <c r="W945" s="36">
        <v>300000.0</v>
      </c>
    </row>
    <row r="946">
      <c r="A946" s="11">
        <v>45871.0</v>
      </c>
      <c r="B946" s="25"/>
      <c r="C946" s="25"/>
      <c r="D946" s="25"/>
      <c r="E946" s="25"/>
      <c r="F946" s="26"/>
      <c r="G946" s="25"/>
      <c r="H946" s="25"/>
      <c r="I946" s="25"/>
      <c r="J946" s="25"/>
      <c r="K946" s="25"/>
      <c r="L946" s="25"/>
      <c r="M946" s="25"/>
      <c r="N946" s="27"/>
      <c r="O946" s="27"/>
      <c r="P946" s="27"/>
      <c r="Q946" s="27"/>
      <c r="R946" s="27"/>
      <c r="S946" s="28"/>
      <c r="T946" s="29"/>
      <c r="U946" s="29"/>
      <c r="V946" s="24"/>
      <c r="W946" s="24"/>
    </row>
    <row r="947">
      <c r="A947" s="11">
        <v>45872.0</v>
      </c>
      <c r="B947" s="25"/>
      <c r="C947" s="25"/>
      <c r="D947" s="25"/>
      <c r="E947" s="25"/>
      <c r="F947" s="26"/>
      <c r="G947" s="25"/>
      <c r="H947" s="25"/>
      <c r="I947" s="25"/>
      <c r="J947" s="25"/>
      <c r="K947" s="25"/>
      <c r="L947" s="25"/>
      <c r="M947" s="25"/>
      <c r="N947" s="27"/>
      <c r="O947" s="27"/>
      <c r="P947" s="27"/>
      <c r="Q947" s="30" t="s">
        <v>98</v>
      </c>
      <c r="R947" s="27"/>
      <c r="S947" s="28"/>
      <c r="T947" s="29"/>
      <c r="U947" s="29"/>
      <c r="V947" s="24"/>
      <c r="W947" s="24"/>
    </row>
    <row r="948">
      <c r="A948" s="11">
        <v>45873.0</v>
      </c>
      <c r="B948" s="17">
        <v>15.0</v>
      </c>
      <c r="C948" s="17">
        <v>28.0</v>
      </c>
      <c r="D948" s="17" t="s">
        <v>64</v>
      </c>
      <c r="E948" s="17">
        <v>25.0</v>
      </c>
      <c r="F948" s="18">
        <v>103.0</v>
      </c>
      <c r="G948" s="25"/>
      <c r="H948" s="25"/>
      <c r="I948" s="25"/>
      <c r="J948" s="17">
        <v>5.8</v>
      </c>
      <c r="K948" s="25"/>
      <c r="L948" s="17">
        <v>25.0</v>
      </c>
      <c r="M948" s="17">
        <v>23.0</v>
      </c>
      <c r="N948" s="30">
        <v>4.0</v>
      </c>
      <c r="O948" s="27"/>
      <c r="P948" s="27"/>
      <c r="Q948" s="27"/>
      <c r="R948" s="27"/>
      <c r="S948" s="28"/>
      <c r="T948" s="29"/>
      <c r="U948" s="29"/>
      <c r="V948" s="36">
        <v>290000.0</v>
      </c>
      <c r="W948" s="36">
        <v>240000.0</v>
      </c>
    </row>
    <row r="949">
      <c r="A949" s="11">
        <v>45874.0</v>
      </c>
      <c r="B949" s="17">
        <v>19.0</v>
      </c>
      <c r="C949" s="17">
        <v>27.0</v>
      </c>
      <c r="D949" s="17" t="s">
        <v>64</v>
      </c>
      <c r="E949" s="17">
        <v>25.0</v>
      </c>
      <c r="F949" s="18">
        <v>70.0</v>
      </c>
      <c r="G949" s="25"/>
      <c r="H949" s="25"/>
      <c r="I949" s="25"/>
      <c r="J949" s="17">
        <v>5.7</v>
      </c>
      <c r="K949" s="25"/>
      <c r="L949" s="17">
        <v>20.0</v>
      </c>
      <c r="M949" s="17">
        <v>18.0</v>
      </c>
      <c r="N949" s="30">
        <v>6.0</v>
      </c>
      <c r="O949" s="27"/>
      <c r="P949" s="27"/>
      <c r="Q949" s="27"/>
      <c r="R949" s="27"/>
      <c r="S949" s="28"/>
      <c r="T949" s="29"/>
      <c r="U949" s="29"/>
      <c r="V949" s="24"/>
      <c r="W949" s="24"/>
    </row>
    <row r="950">
      <c r="A950" s="11">
        <v>45875.0</v>
      </c>
      <c r="B950" s="17">
        <v>19.0</v>
      </c>
      <c r="C950" s="17">
        <v>29.0</v>
      </c>
      <c r="D950" s="17" t="s">
        <v>73</v>
      </c>
      <c r="E950" s="17">
        <v>25.0</v>
      </c>
      <c r="F950" s="18">
        <v>76.0</v>
      </c>
      <c r="G950" s="25"/>
      <c r="H950" s="25"/>
      <c r="I950" s="25"/>
      <c r="J950" s="17"/>
      <c r="K950" s="25"/>
      <c r="L950" s="17">
        <v>18.0</v>
      </c>
      <c r="M950" s="17">
        <v>18.0</v>
      </c>
      <c r="N950" s="27"/>
      <c r="O950" s="27"/>
      <c r="P950" s="27"/>
      <c r="Q950" s="27"/>
      <c r="R950" s="27"/>
      <c r="S950" s="28"/>
      <c r="T950" s="29"/>
      <c r="U950" s="29"/>
      <c r="V950" s="24"/>
      <c r="W950" s="24"/>
    </row>
    <row r="951">
      <c r="A951" s="11">
        <v>45876.0</v>
      </c>
      <c r="B951" s="17">
        <v>21.0</v>
      </c>
      <c r="C951" s="17">
        <v>32.0</v>
      </c>
      <c r="D951" s="17" t="s">
        <v>64</v>
      </c>
      <c r="E951" s="17">
        <v>27.0</v>
      </c>
      <c r="F951" s="18">
        <v>75.0</v>
      </c>
      <c r="G951" s="25"/>
      <c r="H951" s="25"/>
      <c r="I951" s="25"/>
      <c r="J951" s="17">
        <v>5.1</v>
      </c>
      <c r="K951" s="25"/>
      <c r="L951" s="17">
        <v>21.0</v>
      </c>
      <c r="M951" s="17">
        <v>21.0</v>
      </c>
      <c r="N951" s="30">
        <v>3.0</v>
      </c>
      <c r="O951" s="27"/>
      <c r="P951" s="27"/>
      <c r="Q951" s="27"/>
      <c r="R951" s="27"/>
      <c r="S951" s="28"/>
      <c r="T951" s="29"/>
      <c r="U951" s="29"/>
      <c r="V951" s="24"/>
      <c r="W951" s="24"/>
    </row>
    <row r="952">
      <c r="A952" s="11">
        <v>45877.0</v>
      </c>
      <c r="B952" s="17">
        <v>20.0</v>
      </c>
      <c r="C952" s="17">
        <v>31.0</v>
      </c>
      <c r="D952" s="17" t="s">
        <v>64</v>
      </c>
      <c r="E952" s="17">
        <v>27.0</v>
      </c>
      <c r="F952" s="18">
        <v>78.0</v>
      </c>
      <c r="G952" s="25"/>
      <c r="H952" s="25"/>
      <c r="I952" s="25"/>
      <c r="J952" s="17">
        <v>5.7</v>
      </c>
      <c r="K952" s="25"/>
      <c r="L952" s="17">
        <v>24.0</v>
      </c>
      <c r="M952" s="25"/>
      <c r="N952" s="27"/>
      <c r="O952" s="30">
        <v>2.0</v>
      </c>
      <c r="P952" s="27"/>
      <c r="Q952" s="27"/>
      <c r="R952" s="27"/>
      <c r="S952" s="28"/>
      <c r="T952" s="29"/>
      <c r="U952" s="29"/>
      <c r="V952" s="36">
        <v>290000.0</v>
      </c>
      <c r="W952" s="36">
        <v>250000.0</v>
      </c>
    </row>
    <row r="953">
      <c r="A953" s="11">
        <v>45878.0</v>
      </c>
      <c r="B953" s="17"/>
      <c r="C953" s="17"/>
      <c r="D953" s="17"/>
      <c r="E953" s="17"/>
      <c r="F953" s="18"/>
      <c r="G953" s="25"/>
      <c r="H953" s="25"/>
      <c r="I953" s="25"/>
      <c r="J953" s="25"/>
      <c r="K953" s="25"/>
      <c r="L953" s="25"/>
      <c r="M953" s="25"/>
      <c r="N953" s="27"/>
      <c r="O953" s="27"/>
      <c r="P953" s="27"/>
      <c r="Q953" s="27"/>
      <c r="R953" s="27"/>
      <c r="S953" s="28"/>
      <c r="T953" s="29"/>
      <c r="U953" s="29"/>
      <c r="V953" s="24"/>
      <c r="W953" s="24"/>
    </row>
    <row r="954">
      <c r="A954" s="11">
        <v>45879.0</v>
      </c>
      <c r="B954" s="25"/>
      <c r="C954" s="25"/>
      <c r="D954" s="25"/>
      <c r="E954" s="25"/>
      <c r="F954" s="26"/>
      <c r="G954" s="25"/>
      <c r="H954" s="25"/>
      <c r="I954" s="25"/>
      <c r="J954" s="25"/>
      <c r="K954" s="25"/>
      <c r="L954" s="25"/>
      <c r="M954" s="25"/>
      <c r="N954" s="27"/>
      <c r="O954" s="27"/>
      <c r="P954" s="27"/>
      <c r="Q954" s="30" t="s">
        <v>98</v>
      </c>
      <c r="R954" s="27"/>
      <c r="S954" s="28"/>
      <c r="T954" s="29"/>
      <c r="U954" s="29"/>
      <c r="V954" s="24"/>
      <c r="W954" s="24"/>
    </row>
    <row r="955">
      <c r="A955" s="11">
        <v>45880.0</v>
      </c>
      <c r="B955" s="17">
        <v>22.0</v>
      </c>
      <c r="C955" s="17">
        <v>33.0</v>
      </c>
      <c r="D955" s="17" t="s">
        <v>64</v>
      </c>
      <c r="E955" s="17">
        <v>29.0</v>
      </c>
      <c r="F955" s="18">
        <v>88.0</v>
      </c>
      <c r="G955" s="25"/>
      <c r="H955" s="25"/>
      <c r="I955" s="25"/>
      <c r="J955" s="17">
        <v>3.9</v>
      </c>
      <c r="K955" s="25"/>
      <c r="L955" s="17">
        <v>19.0</v>
      </c>
      <c r="M955" s="17">
        <v>17.0</v>
      </c>
      <c r="N955" s="30">
        <v>2.0</v>
      </c>
      <c r="O955" s="27"/>
      <c r="P955" s="27"/>
      <c r="Q955" s="27"/>
      <c r="R955" s="27"/>
      <c r="S955" s="28"/>
      <c r="T955" s="29"/>
      <c r="U955" s="29"/>
      <c r="V955" s="24"/>
      <c r="W955" s="24"/>
    </row>
    <row r="956">
      <c r="A956" s="11">
        <v>45881.0</v>
      </c>
      <c r="B956" s="17">
        <v>24.0</v>
      </c>
      <c r="C956" s="17">
        <v>32.0</v>
      </c>
      <c r="D956" s="17" t="s">
        <v>64</v>
      </c>
      <c r="E956" s="17">
        <v>29.0</v>
      </c>
      <c r="F956" s="18">
        <v>82.0</v>
      </c>
      <c r="G956" s="25"/>
      <c r="H956" s="25"/>
      <c r="I956" s="25"/>
      <c r="J956" s="17">
        <v>1.7</v>
      </c>
      <c r="K956" s="25"/>
      <c r="L956" s="17">
        <v>20.0</v>
      </c>
      <c r="M956" s="17">
        <v>20.0</v>
      </c>
      <c r="N956" s="30">
        <v>4.0</v>
      </c>
      <c r="O956" s="27"/>
      <c r="P956" s="27"/>
      <c r="Q956" s="27"/>
      <c r="R956" s="27"/>
      <c r="S956" s="28"/>
      <c r="T956" s="29"/>
      <c r="U956" s="29"/>
      <c r="V956" s="36">
        <v>330000.0</v>
      </c>
      <c r="W956" s="36">
        <v>210000.0</v>
      </c>
    </row>
    <row r="957">
      <c r="A957" s="11">
        <v>45882.0</v>
      </c>
      <c r="B957" s="17">
        <v>23.0</v>
      </c>
      <c r="C957" s="17">
        <v>35.0</v>
      </c>
      <c r="D957" s="17" t="s">
        <v>64</v>
      </c>
      <c r="E957" s="17">
        <v>29.0</v>
      </c>
      <c r="F957" s="18">
        <v>102.0</v>
      </c>
      <c r="G957" s="25"/>
      <c r="H957" s="25"/>
      <c r="I957" s="25"/>
      <c r="J957" s="17">
        <v>3.2</v>
      </c>
      <c r="K957" s="25"/>
      <c r="L957" s="17">
        <v>23.0</v>
      </c>
      <c r="M957" s="17">
        <v>23.0</v>
      </c>
      <c r="N957" s="27"/>
      <c r="O957" s="27"/>
      <c r="P957" s="27"/>
      <c r="Q957" s="27"/>
      <c r="R957" s="27"/>
      <c r="S957" s="31">
        <v>12.52</v>
      </c>
      <c r="T957" s="40" t="s">
        <v>108</v>
      </c>
      <c r="U957" s="29"/>
      <c r="V957" s="24"/>
      <c r="W957" s="24"/>
    </row>
    <row r="958">
      <c r="A958" s="11">
        <v>45883.0</v>
      </c>
      <c r="B958" s="17">
        <v>22.0</v>
      </c>
      <c r="C958" s="17">
        <v>35.0</v>
      </c>
      <c r="D958" s="17" t="s">
        <v>64</v>
      </c>
      <c r="E958" s="17">
        <v>29.0</v>
      </c>
      <c r="F958" s="18">
        <v>70.0</v>
      </c>
      <c r="G958" s="25"/>
      <c r="H958" s="25"/>
      <c r="I958" s="25"/>
      <c r="J958" s="17"/>
      <c r="K958" s="25"/>
      <c r="L958" s="17">
        <v>24.0</v>
      </c>
      <c r="M958" s="17">
        <v>26.0</v>
      </c>
      <c r="N958" s="30">
        <v>3.0</v>
      </c>
      <c r="O958" s="27"/>
      <c r="P958" s="30"/>
      <c r="Q958" s="27"/>
      <c r="R958" s="27"/>
      <c r="S958" s="28"/>
      <c r="T958" s="29"/>
      <c r="U958" s="29"/>
      <c r="V958" s="36">
        <v>290000.0</v>
      </c>
      <c r="W958" s="36">
        <v>250000.0</v>
      </c>
    </row>
    <row r="959">
      <c r="A959" s="11">
        <v>45884.0</v>
      </c>
      <c r="B959" s="17">
        <v>23.0</v>
      </c>
      <c r="C959" s="17">
        <v>35.0</v>
      </c>
      <c r="D959" s="17" t="s">
        <v>64</v>
      </c>
      <c r="E959" s="17">
        <v>28.0</v>
      </c>
      <c r="F959" s="18">
        <v>74.0</v>
      </c>
      <c r="G959" s="25"/>
      <c r="H959" s="25"/>
      <c r="I959" s="25"/>
      <c r="J959" s="25"/>
      <c r="K959" s="25"/>
      <c r="L959" s="17">
        <v>26.0</v>
      </c>
      <c r="M959" s="17">
        <v>24.0</v>
      </c>
      <c r="N959" s="27"/>
      <c r="O959" s="30">
        <v>6.0</v>
      </c>
      <c r="P959" s="27"/>
      <c r="Q959" s="27"/>
      <c r="R959" s="27"/>
      <c r="S959" s="28"/>
      <c r="T959" s="29"/>
      <c r="U959" s="29"/>
      <c r="V959" s="24"/>
      <c r="W959" s="24"/>
    </row>
    <row r="960">
      <c r="A960" s="11">
        <v>45885.0</v>
      </c>
      <c r="B960" s="25"/>
      <c r="C960" s="25"/>
      <c r="D960" s="25"/>
      <c r="E960" s="25"/>
      <c r="F960" s="26"/>
      <c r="G960" s="25"/>
      <c r="H960" s="25"/>
      <c r="I960" s="25"/>
      <c r="J960" s="25"/>
      <c r="K960" s="25"/>
      <c r="L960" s="25"/>
      <c r="M960" s="25"/>
      <c r="N960" s="27"/>
      <c r="O960" s="27"/>
      <c r="P960" s="27"/>
      <c r="Q960" s="27"/>
      <c r="R960" s="27"/>
      <c r="S960" s="28"/>
      <c r="T960" s="29"/>
      <c r="U960" s="29"/>
      <c r="V960" s="24"/>
      <c r="W960" s="24"/>
    </row>
    <row r="961">
      <c r="A961" s="11">
        <v>45886.0</v>
      </c>
      <c r="B961" s="25"/>
      <c r="C961" s="25"/>
      <c r="D961" s="25"/>
      <c r="E961" s="25"/>
      <c r="F961" s="26"/>
      <c r="G961" s="25"/>
      <c r="H961" s="25"/>
      <c r="I961" s="25"/>
      <c r="J961" s="25"/>
      <c r="K961" s="25"/>
      <c r="L961" s="25"/>
      <c r="M961" s="25"/>
      <c r="N961" s="27"/>
      <c r="O961" s="27"/>
      <c r="P961" s="27"/>
      <c r="Q961" s="27"/>
      <c r="R961" s="27"/>
      <c r="S961" s="28"/>
      <c r="T961" s="29"/>
      <c r="U961" s="29"/>
      <c r="V961" s="24"/>
      <c r="W961" s="24"/>
    </row>
    <row r="962">
      <c r="A962" s="11">
        <v>45887.0</v>
      </c>
      <c r="B962" s="17">
        <v>23.0</v>
      </c>
      <c r="C962" s="17">
        <v>29.0</v>
      </c>
      <c r="D962" s="17" t="s">
        <v>64</v>
      </c>
      <c r="E962" s="17">
        <v>28.0</v>
      </c>
      <c r="F962" s="18">
        <v>68.0</v>
      </c>
      <c r="G962" s="25"/>
      <c r="H962" s="25"/>
      <c r="I962" s="25"/>
      <c r="J962" s="17">
        <v>3.9</v>
      </c>
      <c r="K962" s="25"/>
      <c r="L962" s="17">
        <v>25.0</v>
      </c>
      <c r="M962" s="17">
        <v>25.0</v>
      </c>
      <c r="N962" s="27"/>
      <c r="O962" s="27"/>
      <c r="P962" s="27"/>
      <c r="Q962" s="27"/>
      <c r="R962" s="27"/>
      <c r="S962" s="28"/>
      <c r="T962" s="29"/>
      <c r="U962" s="29"/>
      <c r="V962" s="24"/>
      <c r="W962" s="24"/>
    </row>
    <row r="963">
      <c r="A963" s="11">
        <v>45888.0</v>
      </c>
      <c r="B963" s="17">
        <v>21.0</v>
      </c>
      <c r="C963" s="17">
        <v>30.0</v>
      </c>
      <c r="D963" s="17" t="s">
        <v>64</v>
      </c>
      <c r="E963" s="17">
        <v>27.0</v>
      </c>
      <c r="F963" s="18">
        <v>60.0</v>
      </c>
      <c r="G963" s="25"/>
      <c r="H963" s="25"/>
      <c r="I963" s="25"/>
      <c r="J963" s="17">
        <v>4.2</v>
      </c>
      <c r="K963" s="25"/>
      <c r="L963" s="17">
        <v>26.0</v>
      </c>
      <c r="M963" s="17">
        <v>26.0</v>
      </c>
      <c r="N963" s="30">
        <v>6.0</v>
      </c>
      <c r="O963" s="27"/>
      <c r="P963" s="27"/>
      <c r="Q963" s="27"/>
      <c r="R963" s="27"/>
      <c r="S963" s="28"/>
      <c r="T963" s="29"/>
      <c r="U963" s="29"/>
      <c r="V963" s="24"/>
      <c r="W963" s="24"/>
    </row>
    <row r="964">
      <c r="A964" s="11">
        <v>45889.0</v>
      </c>
      <c r="B964" s="17">
        <v>20.0</v>
      </c>
      <c r="C964" s="17">
        <v>28.0</v>
      </c>
      <c r="D964" s="17" t="s">
        <v>62</v>
      </c>
      <c r="E964" s="17">
        <v>27.0</v>
      </c>
      <c r="F964" s="18">
        <v>65.0</v>
      </c>
      <c r="G964" s="25"/>
      <c r="H964" s="25"/>
      <c r="I964" s="25"/>
      <c r="J964" s="17">
        <v>4.7</v>
      </c>
      <c r="K964" s="25"/>
      <c r="L964" s="17">
        <v>24.0</v>
      </c>
      <c r="M964" s="17">
        <v>25.0</v>
      </c>
      <c r="N964" s="30">
        <v>4.0</v>
      </c>
      <c r="O964" s="30">
        <v>5.0</v>
      </c>
      <c r="P964" s="27"/>
      <c r="Q964" s="27"/>
      <c r="R964" s="27"/>
      <c r="S964" s="28"/>
      <c r="T964" s="29"/>
      <c r="U964" s="29"/>
      <c r="V964" s="24"/>
      <c r="W964" s="24"/>
    </row>
    <row r="965">
      <c r="A965" s="11">
        <v>45890.0</v>
      </c>
      <c r="B965" s="17">
        <v>22.0</v>
      </c>
      <c r="C965" s="17">
        <v>26.0</v>
      </c>
      <c r="D965" s="17" t="s">
        <v>79</v>
      </c>
      <c r="E965" s="17">
        <v>26.0</v>
      </c>
      <c r="F965" s="18">
        <v>60.0</v>
      </c>
      <c r="G965" s="25"/>
      <c r="H965" s="25"/>
      <c r="I965" s="25"/>
      <c r="J965" s="25"/>
      <c r="K965" s="25"/>
      <c r="L965" s="17">
        <v>25.0</v>
      </c>
      <c r="M965" s="17">
        <v>24.0</v>
      </c>
      <c r="N965" s="27"/>
      <c r="O965" s="27"/>
      <c r="P965" s="27"/>
      <c r="Q965" s="27"/>
      <c r="R965" s="27"/>
      <c r="S965" s="28"/>
      <c r="T965" s="29"/>
      <c r="U965" s="29"/>
      <c r="V965" s="24"/>
      <c r="W965" s="24"/>
    </row>
    <row r="966">
      <c r="A966" s="11">
        <v>45891.0</v>
      </c>
      <c r="B966" s="17">
        <v>18.0</v>
      </c>
      <c r="C966" s="17">
        <v>29.0</v>
      </c>
      <c r="D966" s="17" t="s">
        <v>73</v>
      </c>
      <c r="E966" s="17">
        <v>26.0</v>
      </c>
      <c r="F966" s="18">
        <v>68.0</v>
      </c>
      <c r="G966" s="25"/>
      <c r="H966" s="25"/>
      <c r="I966" s="25"/>
      <c r="J966" s="25"/>
      <c r="K966" s="25"/>
      <c r="L966" s="17">
        <v>23.0</v>
      </c>
      <c r="M966" s="17">
        <v>25.0</v>
      </c>
      <c r="N966" s="27"/>
      <c r="O966" s="27"/>
      <c r="P966" s="27"/>
      <c r="Q966" s="27"/>
      <c r="R966" s="27"/>
      <c r="S966" s="31">
        <v>10.4</v>
      </c>
      <c r="T966" s="29"/>
      <c r="U966" s="29"/>
      <c r="V966" s="24"/>
      <c r="W966" s="24"/>
    </row>
    <row r="967">
      <c r="A967" s="11">
        <v>45892.0</v>
      </c>
      <c r="B967" s="25"/>
      <c r="C967" s="25"/>
      <c r="D967" s="25"/>
      <c r="E967" s="25"/>
      <c r="F967" s="26"/>
      <c r="G967" s="25"/>
      <c r="H967" s="25"/>
      <c r="I967" s="25"/>
      <c r="J967" s="25"/>
      <c r="K967" s="25"/>
      <c r="L967" s="25"/>
      <c r="M967" s="25"/>
      <c r="N967" s="27"/>
      <c r="O967" s="27"/>
      <c r="P967" s="27"/>
      <c r="Q967" s="27"/>
      <c r="R967" s="27"/>
      <c r="S967" s="28"/>
      <c r="T967" s="29"/>
      <c r="U967" s="29"/>
      <c r="V967" s="24"/>
      <c r="W967" s="24"/>
    </row>
    <row r="968">
      <c r="A968" s="11">
        <v>45893.0</v>
      </c>
      <c r="B968" s="25"/>
      <c r="C968" s="25"/>
      <c r="D968" s="25"/>
      <c r="E968" s="25"/>
      <c r="F968" s="26"/>
      <c r="G968" s="25"/>
      <c r="H968" s="25"/>
      <c r="I968" s="25"/>
      <c r="J968" s="25"/>
      <c r="K968" s="25"/>
      <c r="L968" s="25"/>
      <c r="M968" s="25"/>
      <c r="N968" s="27"/>
      <c r="O968" s="27"/>
      <c r="P968" s="27"/>
      <c r="Q968" s="27"/>
      <c r="R968" s="27"/>
      <c r="S968" s="28"/>
      <c r="T968" s="29"/>
      <c r="U968" s="29"/>
      <c r="V968" s="24"/>
      <c r="W968" s="24"/>
    </row>
    <row r="969">
      <c r="A969" s="11">
        <v>45894.0</v>
      </c>
      <c r="B969" s="17">
        <v>19.0</v>
      </c>
      <c r="C969" s="17">
        <v>27.0</v>
      </c>
      <c r="D969" s="17" t="s">
        <v>73</v>
      </c>
      <c r="E969" s="17">
        <v>23.0</v>
      </c>
      <c r="F969" s="18">
        <v>50.0</v>
      </c>
      <c r="G969" s="25"/>
      <c r="H969" s="25"/>
      <c r="I969" s="25"/>
      <c r="J969" s="17">
        <v>6.5</v>
      </c>
      <c r="K969" s="25"/>
      <c r="L969" s="17">
        <v>25.0</v>
      </c>
      <c r="M969" s="17">
        <v>23.0</v>
      </c>
      <c r="N969" s="30">
        <v>3.0</v>
      </c>
      <c r="O969" s="30">
        <v>2.0</v>
      </c>
      <c r="P969" s="27"/>
      <c r="Q969" s="27"/>
      <c r="R969" s="27"/>
      <c r="S969" s="31">
        <v>18.76</v>
      </c>
      <c r="T969" s="32" t="s">
        <v>109</v>
      </c>
      <c r="U969" s="29"/>
      <c r="V969" s="24"/>
      <c r="W969" s="24"/>
    </row>
    <row r="970">
      <c r="A970" s="11">
        <v>45895.0</v>
      </c>
      <c r="B970" s="17">
        <v>18.0</v>
      </c>
      <c r="C970" s="17">
        <v>28.0</v>
      </c>
      <c r="D970" s="17" t="s">
        <v>64</v>
      </c>
      <c r="E970" s="17">
        <v>24.0</v>
      </c>
      <c r="F970" s="18">
        <v>45.0</v>
      </c>
      <c r="G970" s="25"/>
      <c r="H970" s="25"/>
      <c r="I970" s="25"/>
      <c r="J970" s="17">
        <v>5.3</v>
      </c>
      <c r="K970" s="25"/>
      <c r="L970" s="17">
        <v>25.0</v>
      </c>
      <c r="M970" s="17">
        <v>25.0</v>
      </c>
      <c r="N970" s="30">
        <v>6.0</v>
      </c>
      <c r="O970" s="30">
        <v>2.0</v>
      </c>
      <c r="P970" s="30">
        <v>1.0</v>
      </c>
      <c r="Q970" s="30" t="s">
        <v>98</v>
      </c>
      <c r="R970" s="27"/>
      <c r="S970" s="28"/>
      <c r="T970" s="29"/>
      <c r="U970" s="29"/>
      <c r="V970" s="24"/>
      <c r="W970" s="24"/>
    </row>
    <row r="971">
      <c r="A971" s="11">
        <v>45896.0</v>
      </c>
      <c r="B971" s="17">
        <v>21.0</v>
      </c>
      <c r="C971" s="17">
        <v>30.0</v>
      </c>
      <c r="D971" s="17" t="s">
        <v>73</v>
      </c>
      <c r="E971" s="25"/>
      <c r="F971" s="18">
        <v>60.0</v>
      </c>
      <c r="G971" s="25"/>
      <c r="H971" s="25"/>
      <c r="I971" s="25"/>
      <c r="J971" s="17">
        <v>5.3</v>
      </c>
      <c r="K971" s="25"/>
      <c r="L971" s="17">
        <v>25.0</v>
      </c>
      <c r="M971" s="17">
        <v>23.0</v>
      </c>
      <c r="N971" s="27"/>
      <c r="O971" s="27"/>
      <c r="P971" s="27"/>
      <c r="Q971" s="27"/>
      <c r="R971" s="27"/>
      <c r="S971" s="28"/>
      <c r="T971" s="29"/>
      <c r="U971" s="29"/>
      <c r="V971" s="24"/>
      <c r="W971" s="24"/>
    </row>
    <row r="972">
      <c r="A972" s="11">
        <v>45897.0</v>
      </c>
      <c r="B972" s="17">
        <v>23.0</v>
      </c>
      <c r="C972" s="17">
        <v>29.0</v>
      </c>
      <c r="D972" s="17" t="s">
        <v>73</v>
      </c>
      <c r="E972" s="25"/>
      <c r="F972" s="18">
        <v>50.0</v>
      </c>
      <c r="G972" s="25"/>
      <c r="H972" s="25"/>
      <c r="I972" s="25"/>
      <c r="J972" s="25"/>
      <c r="K972" s="25"/>
      <c r="L972" s="17">
        <v>25.0</v>
      </c>
      <c r="M972" s="17">
        <v>25.0</v>
      </c>
      <c r="N972" s="30">
        <v>6.0</v>
      </c>
      <c r="O972" s="30">
        <v>4.0</v>
      </c>
      <c r="P972" s="27"/>
      <c r="Q972" s="27"/>
      <c r="R972" s="27"/>
      <c r="S972" s="28"/>
      <c r="T972" s="29"/>
      <c r="U972" s="29"/>
      <c r="V972" s="36">
        <v>250000.0</v>
      </c>
      <c r="W972" s="36">
        <v>270000.0</v>
      </c>
    </row>
    <row r="973">
      <c r="A973" s="11">
        <v>45898.0</v>
      </c>
      <c r="B973" s="17">
        <v>21.0</v>
      </c>
      <c r="C973" s="17">
        <v>32.0</v>
      </c>
      <c r="D973" s="17" t="s">
        <v>73</v>
      </c>
      <c r="E973" s="25"/>
      <c r="F973" s="18">
        <v>45.0</v>
      </c>
      <c r="G973" s="25"/>
      <c r="H973" s="25"/>
      <c r="I973" s="25"/>
      <c r="J973" s="17">
        <v>5.0</v>
      </c>
      <c r="K973" s="25"/>
      <c r="L973" s="17">
        <v>24.0</v>
      </c>
      <c r="M973" s="17">
        <v>19.0</v>
      </c>
      <c r="N973" s="27"/>
      <c r="O973" s="27"/>
      <c r="P973" s="27"/>
      <c r="Q973" s="27"/>
      <c r="R973" s="30" t="s">
        <v>98</v>
      </c>
      <c r="S973" s="28"/>
      <c r="T973" s="29"/>
      <c r="U973" s="29"/>
      <c r="V973" s="24"/>
      <c r="W973" s="24"/>
    </row>
    <row r="974">
      <c r="A974" s="11">
        <v>45899.0</v>
      </c>
      <c r="B974" s="17"/>
      <c r="C974" s="17"/>
      <c r="D974" s="17"/>
      <c r="E974" s="25"/>
      <c r="F974" s="18"/>
      <c r="G974" s="25"/>
      <c r="H974" s="25"/>
      <c r="I974" s="25"/>
      <c r="J974" s="25"/>
      <c r="K974" s="25"/>
      <c r="L974" s="17"/>
      <c r="M974" s="17"/>
      <c r="N974" s="27"/>
      <c r="O974" s="27"/>
      <c r="P974" s="27"/>
      <c r="Q974" s="27"/>
      <c r="R974" s="27"/>
      <c r="S974" s="28"/>
      <c r="T974" s="29"/>
      <c r="U974" s="29"/>
      <c r="V974" s="24"/>
      <c r="W974" s="24"/>
    </row>
    <row r="975">
      <c r="A975" s="11">
        <v>45900.0</v>
      </c>
      <c r="B975" s="25"/>
      <c r="C975" s="25"/>
      <c r="D975" s="25"/>
      <c r="E975" s="25"/>
      <c r="F975" s="26"/>
      <c r="G975" s="25"/>
      <c r="H975" s="25"/>
      <c r="I975" s="25"/>
      <c r="J975" s="25"/>
      <c r="K975" s="25"/>
      <c r="L975" s="25"/>
      <c r="M975" s="25"/>
      <c r="N975" s="27"/>
      <c r="O975" s="27"/>
      <c r="P975" s="27"/>
      <c r="Q975" s="27"/>
      <c r="R975" s="27"/>
      <c r="S975" s="28"/>
      <c r="T975" s="29"/>
      <c r="U975" s="29"/>
      <c r="V975" s="24"/>
      <c r="W975" s="24"/>
    </row>
    <row r="976">
      <c r="A976" s="11">
        <v>45901.0</v>
      </c>
      <c r="B976" s="17">
        <v>17.0</v>
      </c>
      <c r="C976" s="17">
        <v>31.0</v>
      </c>
      <c r="D976" s="17" t="s">
        <v>64</v>
      </c>
      <c r="E976" s="25"/>
      <c r="F976" s="18">
        <v>69.0</v>
      </c>
      <c r="G976" s="25"/>
      <c r="H976" s="25"/>
      <c r="I976" s="25"/>
      <c r="J976" s="17">
        <v>6.3</v>
      </c>
      <c r="K976" s="25"/>
      <c r="L976" s="17">
        <v>15.0</v>
      </c>
      <c r="M976" s="17">
        <v>16.0</v>
      </c>
      <c r="N976" s="27"/>
      <c r="O976" s="27"/>
      <c r="P976" s="27"/>
      <c r="Q976" s="27"/>
      <c r="R976" s="27"/>
      <c r="S976" s="28"/>
      <c r="T976" s="29"/>
      <c r="U976" s="29"/>
      <c r="V976" s="36">
        <v>320000.0</v>
      </c>
      <c r="W976" s="36">
        <v>500000.0</v>
      </c>
    </row>
    <row r="977">
      <c r="A977" s="11">
        <v>45902.0</v>
      </c>
      <c r="B977" s="17">
        <v>20.0</v>
      </c>
      <c r="C977" s="17">
        <v>29.0</v>
      </c>
      <c r="D977" s="17" t="s">
        <v>79</v>
      </c>
      <c r="E977" s="17">
        <v>24.0</v>
      </c>
      <c r="F977" s="18">
        <v>55.0</v>
      </c>
      <c r="G977" s="25"/>
      <c r="H977" s="25"/>
      <c r="I977" s="25"/>
      <c r="J977" s="17">
        <v>5.5</v>
      </c>
      <c r="K977" s="25"/>
      <c r="L977" s="17">
        <v>11.0</v>
      </c>
      <c r="M977" s="17">
        <v>13.0</v>
      </c>
      <c r="N977" s="30">
        <v>10.0</v>
      </c>
      <c r="O977" s="30">
        <v>5.0</v>
      </c>
      <c r="P977" s="27"/>
      <c r="Q977" s="27"/>
      <c r="R977" s="27"/>
      <c r="S977" s="31">
        <v>16.12</v>
      </c>
      <c r="T977" s="32" t="s">
        <v>110</v>
      </c>
      <c r="U977" s="29"/>
      <c r="V977" s="24"/>
      <c r="W977" s="24"/>
    </row>
    <row r="978">
      <c r="A978" s="11">
        <v>45903.0</v>
      </c>
      <c r="B978" s="17">
        <v>15.0</v>
      </c>
      <c r="C978" s="17">
        <v>27.0</v>
      </c>
      <c r="D978" s="17" t="s">
        <v>73</v>
      </c>
      <c r="E978" s="17">
        <v>23.0</v>
      </c>
      <c r="F978" s="18">
        <v>60.0</v>
      </c>
      <c r="G978" s="25"/>
      <c r="H978" s="25"/>
      <c r="I978" s="25"/>
      <c r="J978" s="17">
        <v>6.1</v>
      </c>
      <c r="K978" s="25"/>
      <c r="L978" s="17">
        <v>20.0</v>
      </c>
      <c r="M978" s="17">
        <v>20.0</v>
      </c>
      <c r="N978" s="30">
        <v>5.0</v>
      </c>
      <c r="O978" s="30">
        <v>1.0</v>
      </c>
      <c r="P978" s="27"/>
      <c r="Q978" s="27"/>
      <c r="R978" s="27"/>
      <c r="S978" s="28"/>
      <c r="T978" s="29"/>
      <c r="U978" s="29"/>
      <c r="V978" s="24"/>
      <c r="W978" s="24"/>
    </row>
    <row r="979">
      <c r="A979" s="11">
        <v>45904.0</v>
      </c>
      <c r="B979" s="17">
        <v>16.0</v>
      </c>
      <c r="C979" s="17">
        <v>30.0</v>
      </c>
      <c r="D979" s="17" t="s">
        <v>64</v>
      </c>
      <c r="E979" s="17">
        <v>24.0</v>
      </c>
      <c r="F979" s="18">
        <v>78.0</v>
      </c>
      <c r="G979" s="25"/>
      <c r="H979" s="25"/>
      <c r="I979" s="25"/>
      <c r="J979" s="17">
        <v>5.4</v>
      </c>
      <c r="K979" s="25"/>
      <c r="L979" s="17">
        <v>20.0</v>
      </c>
      <c r="M979" s="17">
        <v>15.0</v>
      </c>
      <c r="N979" s="30">
        <v>3.0</v>
      </c>
      <c r="O979" s="27"/>
      <c r="P979" s="27"/>
      <c r="Q979" s="27"/>
      <c r="R979" s="27"/>
      <c r="S979" s="28"/>
      <c r="T979" s="29"/>
      <c r="U979" s="29"/>
      <c r="V979" s="36">
        <v>320000.0</v>
      </c>
      <c r="W979" s="36">
        <v>290000.0</v>
      </c>
    </row>
    <row r="980">
      <c r="A980" s="11">
        <v>45905.0</v>
      </c>
      <c r="B980" s="17">
        <v>18.0</v>
      </c>
      <c r="C980" s="17">
        <v>32.0</v>
      </c>
      <c r="D980" s="17" t="s">
        <v>64</v>
      </c>
      <c r="E980" s="17">
        <v>24.0</v>
      </c>
      <c r="F980" s="18">
        <v>52.0</v>
      </c>
      <c r="G980" s="25"/>
      <c r="H980" s="25"/>
      <c r="I980" s="25"/>
      <c r="J980" s="25"/>
      <c r="K980" s="25"/>
      <c r="L980" s="17">
        <v>21.0</v>
      </c>
      <c r="M980" s="17">
        <v>20.0</v>
      </c>
      <c r="N980" s="27"/>
      <c r="O980" s="27"/>
      <c r="P980" s="27"/>
      <c r="Q980" s="27"/>
      <c r="R980" s="27"/>
      <c r="S980" s="28"/>
      <c r="T980" s="29"/>
      <c r="U980" s="29"/>
      <c r="V980" s="24"/>
      <c r="W980" s="24"/>
    </row>
    <row r="981">
      <c r="A981" s="11">
        <v>45906.0</v>
      </c>
      <c r="B981" s="25"/>
      <c r="C981" s="25"/>
      <c r="D981" s="25"/>
      <c r="E981" s="25"/>
      <c r="F981" s="26"/>
      <c r="G981" s="25"/>
      <c r="H981" s="25"/>
      <c r="I981" s="25"/>
      <c r="J981" s="25"/>
      <c r="K981" s="25"/>
      <c r="L981" s="25"/>
      <c r="M981" s="25"/>
      <c r="N981" s="27"/>
      <c r="O981" s="27"/>
      <c r="P981" s="27"/>
      <c r="Q981" s="27"/>
      <c r="R981" s="27"/>
      <c r="S981" s="28"/>
      <c r="T981" s="29"/>
      <c r="U981" s="29"/>
      <c r="V981" s="24"/>
      <c r="W981" s="24"/>
    </row>
    <row r="982">
      <c r="A982" s="11">
        <v>45907.0</v>
      </c>
      <c r="B982" s="25"/>
      <c r="C982" s="25"/>
      <c r="D982" s="25"/>
      <c r="E982" s="25"/>
      <c r="F982" s="26"/>
      <c r="G982" s="25"/>
      <c r="H982" s="25"/>
      <c r="I982" s="25"/>
      <c r="J982" s="25"/>
      <c r="K982" s="25"/>
      <c r="L982" s="25"/>
      <c r="M982" s="25"/>
      <c r="N982" s="27"/>
      <c r="O982" s="27"/>
      <c r="P982" s="27"/>
      <c r="Q982" s="27"/>
      <c r="R982" s="27"/>
      <c r="S982" s="28"/>
      <c r="T982" s="29"/>
      <c r="U982" s="29"/>
      <c r="V982" s="24"/>
      <c r="W982" s="24"/>
    </row>
    <row r="983">
      <c r="A983" s="11">
        <v>45908.0</v>
      </c>
      <c r="B983" s="17">
        <v>18.0</v>
      </c>
      <c r="C983" s="17">
        <v>29.0</v>
      </c>
      <c r="D983" s="17" t="s">
        <v>64</v>
      </c>
      <c r="E983" s="17">
        <v>24.0</v>
      </c>
      <c r="F983" s="18">
        <v>72.0</v>
      </c>
      <c r="G983" s="25"/>
      <c r="H983" s="25"/>
      <c r="I983" s="25"/>
      <c r="J983" s="17">
        <v>5.1</v>
      </c>
      <c r="K983" s="25"/>
      <c r="L983" s="17">
        <v>22.0</v>
      </c>
      <c r="M983" s="17">
        <v>23.0</v>
      </c>
      <c r="N983" s="27"/>
      <c r="O983" s="27"/>
      <c r="P983" s="27"/>
      <c r="Q983" s="27"/>
      <c r="R983" s="27"/>
      <c r="S983" s="28"/>
      <c r="T983" s="29"/>
      <c r="U983" s="29"/>
      <c r="V983" s="24"/>
      <c r="W983" s="24"/>
    </row>
    <row r="984">
      <c r="A984" s="11">
        <v>45909.0</v>
      </c>
      <c r="B984" s="17">
        <v>20.0</v>
      </c>
      <c r="C984" s="17">
        <v>28.0</v>
      </c>
      <c r="D984" s="17" t="s">
        <v>73</v>
      </c>
      <c r="E984" s="17">
        <v>24.0</v>
      </c>
      <c r="F984" s="18">
        <v>58.0</v>
      </c>
      <c r="G984" s="25"/>
      <c r="H984" s="25"/>
      <c r="I984" s="25"/>
      <c r="J984" s="17">
        <v>5.2</v>
      </c>
      <c r="K984" s="25"/>
      <c r="L984" s="17">
        <v>20.0</v>
      </c>
      <c r="M984" s="17">
        <v>20.0</v>
      </c>
      <c r="N984" s="30">
        <v>4.0</v>
      </c>
      <c r="O984" s="30">
        <v>1.0</v>
      </c>
      <c r="P984" s="27"/>
      <c r="Q984" s="27"/>
      <c r="R984" s="27"/>
      <c r="S984" s="28"/>
      <c r="T984" s="29"/>
      <c r="U984" s="29"/>
      <c r="V984" s="36">
        <v>420000.0</v>
      </c>
      <c r="W984" s="36">
        <v>300000.0</v>
      </c>
    </row>
    <row r="985">
      <c r="A985" s="11">
        <v>45910.0</v>
      </c>
      <c r="B985" s="17">
        <v>19.0</v>
      </c>
      <c r="C985" s="17">
        <v>24.0</v>
      </c>
      <c r="D985" s="17" t="s">
        <v>62</v>
      </c>
      <c r="E985" s="17">
        <v>23.0</v>
      </c>
      <c r="F985" s="18">
        <v>64.0</v>
      </c>
      <c r="G985" s="25"/>
      <c r="H985" s="25"/>
      <c r="I985" s="25"/>
      <c r="J985" s="25"/>
      <c r="K985" s="25"/>
      <c r="L985" s="17">
        <v>20.0</v>
      </c>
      <c r="M985" s="17">
        <v>20.0</v>
      </c>
      <c r="N985" s="30"/>
      <c r="O985" s="27"/>
      <c r="P985" s="27"/>
      <c r="Q985" s="27"/>
      <c r="R985" s="27"/>
      <c r="S985" s="28"/>
      <c r="T985" s="29"/>
      <c r="U985" s="29"/>
      <c r="V985" s="24"/>
      <c r="W985" s="24"/>
    </row>
    <row r="986">
      <c r="A986" s="11">
        <v>45911.0</v>
      </c>
      <c r="B986" s="17">
        <v>16.0</v>
      </c>
      <c r="C986" s="17">
        <v>28.0</v>
      </c>
      <c r="D986" s="17" t="s">
        <v>73</v>
      </c>
      <c r="E986" s="17">
        <v>24.0</v>
      </c>
      <c r="F986" s="18">
        <v>54.0</v>
      </c>
      <c r="G986" s="25"/>
      <c r="H986" s="25"/>
      <c r="I986" s="25"/>
      <c r="J986" s="25"/>
      <c r="K986" s="25"/>
      <c r="L986" s="17">
        <v>17.0</v>
      </c>
      <c r="M986" s="17">
        <v>19.0</v>
      </c>
      <c r="N986" s="30">
        <v>20.0</v>
      </c>
      <c r="O986" s="27"/>
      <c r="P986" s="27"/>
      <c r="Q986" s="27"/>
      <c r="R986" s="27"/>
      <c r="S986" s="28"/>
      <c r="T986" s="29"/>
      <c r="U986" s="29"/>
      <c r="V986" s="24"/>
      <c r="W986" s="24"/>
    </row>
    <row r="987">
      <c r="A987" s="11">
        <v>45912.0</v>
      </c>
      <c r="B987" s="17">
        <v>16.0</v>
      </c>
      <c r="C987" s="17">
        <v>27.0</v>
      </c>
      <c r="D987" s="17" t="s">
        <v>64</v>
      </c>
      <c r="E987" s="17">
        <v>22.0</v>
      </c>
      <c r="F987" s="18">
        <v>64.0</v>
      </c>
      <c r="G987" s="25"/>
      <c r="H987" s="25"/>
      <c r="I987" s="25"/>
      <c r="J987" s="17">
        <v>5.3</v>
      </c>
      <c r="K987" s="25"/>
      <c r="L987" s="17">
        <v>19.0</v>
      </c>
      <c r="M987" s="17">
        <v>21.0</v>
      </c>
      <c r="N987" s="30">
        <v>2.0</v>
      </c>
      <c r="O987" s="27"/>
      <c r="P987" s="27"/>
      <c r="Q987" s="27"/>
      <c r="R987" s="27"/>
      <c r="S987" s="28"/>
      <c r="T987" s="29"/>
      <c r="U987" s="29"/>
      <c r="V987" s="36">
        <v>410000.0</v>
      </c>
      <c r="W987" s="36">
        <v>430000.0</v>
      </c>
    </row>
    <row r="988">
      <c r="A988" s="11">
        <v>45913.0</v>
      </c>
      <c r="B988" s="17"/>
      <c r="C988" s="17"/>
      <c r="D988" s="17"/>
      <c r="E988" s="17"/>
      <c r="F988" s="18"/>
      <c r="G988" s="25"/>
      <c r="H988" s="25"/>
      <c r="I988" s="25"/>
      <c r="J988" s="25"/>
      <c r="K988" s="25"/>
      <c r="L988" s="17"/>
      <c r="M988" s="17"/>
      <c r="N988" s="27"/>
      <c r="O988" s="27"/>
      <c r="P988" s="27"/>
      <c r="Q988" s="27"/>
      <c r="R988" s="27"/>
      <c r="S988" s="28"/>
      <c r="T988" s="29"/>
      <c r="U988" s="29"/>
      <c r="V988" s="24"/>
      <c r="W988" s="24"/>
    </row>
    <row r="989">
      <c r="A989" s="11">
        <v>45914.0</v>
      </c>
      <c r="B989" s="25"/>
      <c r="C989" s="25"/>
      <c r="D989" s="25"/>
      <c r="E989" s="25"/>
      <c r="F989" s="26"/>
      <c r="G989" s="25"/>
      <c r="H989" s="25"/>
      <c r="I989" s="25"/>
      <c r="J989" s="25"/>
      <c r="K989" s="25"/>
      <c r="L989" s="25"/>
      <c r="M989" s="25"/>
      <c r="N989" s="30">
        <v>13.0</v>
      </c>
      <c r="O989" s="30">
        <v>3.0</v>
      </c>
      <c r="P989" s="27"/>
      <c r="Q989" s="27"/>
      <c r="R989" s="27"/>
      <c r="S989" s="28"/>
      <c r="T989" s="29"/>
      <c r="U989" s="29"/>
      <c r="V989" s="24"/>
      <c r="W989" s="24"/>
    </row>
    <row r="990">
      <c r="A990" s="11">
        <v>45915.0</v>
      </c>
      <c r="B990" s="17">
        <v>16.0</v>
      </c>
      <c r="C990" s="17">
        <v>28.0</v>
      </c>
      <c r="D990" s="17" t="s">
        <v>64</v>
      </c>
      <c r="E990" s="17">
        <v>23.0</v>
      </c>
      <c r="F990" s="18">
        <v>75.0</v>
      </c>
      <c r="G990" s="25"/>
      <c r="H990" s="25"/>
      <c r="I990" s="25"/>
      <c r="J990" s="25"/>
      <c r="K990" s="25"/>
      <c r="L990" s="17">
        <v>20.0</v>
      </c>
      <c r="M990" s="17">
        <v>21.0</v>
      </c>
      <c r="N990" s="27"/>
      <c r="O990" s="27"/>
      <c r="P990" s="27"/>
      <c r="Q990" s="27"/>
      <c r="R990" s="27"/>
      <c r="S990" s="28"/>
      <c r="T990" s="29"/>
      <c r="U990" s="29"/>
      <c r="V990" s="24"/>
      <c r="W990" s="24"/>
    </row>
    <row r="991">
      <c r="A991" s="11">
        <v>45916.0</v>
      </c>
      <c r="B991" s="17">
        <v>17.0</v>
      </c>
      <c r="C991" s="17">
        <v>30.0</v>
      </c>
      <c r="D991" s="17" t="s">
        <v>64</v>
      </c>
      <c r="E991" s="17">
        <v>23.0</v>
      </c>
      <c r="F991" s="18">
        <v>68.0</v>
      </c>
      <c r="G991" s="25"/>
      <c r="H991" s="25"/>
      <c r="I991" s="25"/>
      <c r="J991" s="17">
        <v>3.6</v>
      </c>
      <c r="K991" s="25"/>
      <c r="L991" s="17">
        <v>20.0</v>
      </c>
      <c r="M991" s="17">
        <v>22.0</v>
      </c>
      <c r="N991" s="30">
        <v>20.0</v>
      </c>
      <c r="O991" s="27"/>
      <c r="P991" s="27"/>
      <c r="Q991" s="27"/>
      <c r="R991" s="27"/>
      <c r="S991" s="31">
        <v>3.6</v>
      </c>
      <c r="T991" s="40" t="s">
        <v>111</v>
      </c>
      <c r="U991" s="29"/>
      <c r="V991" s="36">
        <v>450000.0</v>
      </c>
      <c r="W991" s="36">
        <v>610000.0</v>
      </c>
    </row>
    <row r="992">
      <c r="A992" s="11">
        <v>45917.0</v>
      </c>
      <c r="B992" s="17">
        <v>19.0</v>
      </c>
      <c r="C992" s="17">
        <v>25.0</v>
      </c>
      <c r="D992" s="17" t="s">
        <v>73</v>
      </c>
      <c r="E992" s="17">
        <v>24.0</v>
      </c>
      <c r="F992" s="18">
        <v>68.0</v>
      </c>
      <c r="G992" s="25"/>
      <c r="H992" s="25"/>
      <c r="I992" s="25"/>
      <c r="J992" s="17">
        <v>4.0</v>
      </c>
      <c r="K992" s="25"/>
      <c r="L992" s="17">
        <v>21.0</v>
      </c>
      <c r="M992" s="17">
        <v>22.0</v>
      </c>
      <c r="N992" s="27"/>
      <c r="O992" s="27"/>
      <c r="P992" s="27"/>
      <c r="Q992" s="27"/>
      <c r="R992" s="27"/>
      <c r="S992" s="28"/>
      <c r="T992" s="29"/>
      <c r="U992" s="29"/>
      <c r="V992" s="24"/>
      <c r="W992" s="24"/>
    </row>
    <row r="993">
      <c r="A993" s="11">
        <v>45918.0</v>
      </c>
      <c r="B993" s="17">
        <v>15.0</v>
      </c>
      <c r="C993" s="17">
        <v>26.0</v>
      </c>
      <c r="D993" s="17" t="s">
        <v>64</v>
      </c>
      <c r="E993" s="17">
        <v>24.0</v>
      </c>
      <c r="F993" s="18">
        <v>61.0</v>
      </c>
      <c r="G993" s="25"/>
      <c r="H993" s="25"/>
      <c r="I993" s="25"/>
      <c r="J993" s="25"/>
      <c r="K993" s="25"/>
      <c r="L993" s="17">
        <v>21.0</v>
      </c>
      <c r="M993" s="17">
        <v>21.0</v>
      </c>
      <c r="N993" s="30">
        <v>13.0</v>
      </c>
      <c r="O993" s="27"/>
      <c r="P993" s="27"/>
      <c r="Q993" s="30" t="s">
        <v>98</v>
      </c>
      <c r="R993" s="27"/>
      <c r="S993" s="28"/>
      <c r="T993" s="29"/>
      <c r="U993" s="29"/>
      <c r="V993" s="24"/>
      <c r="W993" s="24"/>
    </row>
    <row r="994">
      <c r="A994" s="11">
        <v>45919.0</v>
      </c>
      <c r="B994" s="17">
        <v>16.0</v>
      </c>
      <c r="C994" s="17">
        <v>28.0</v>
      </c>
      <c r="D994" s="17" t="s">
        <v>64</v>
      </c>
      <c r="E994" s="17">
        <v>24.0</v>
      </c>
      <c r="F994" s="18">
        <v>50.0</v>
      </c>
      <c r="G994" s="25"/>
      <c r="H994" s="25"/>
      <c r="I994" s="25"/>
      <c r="J994" s="17">
        <v>4.0</v>
      </c>
      <c r="K994" s="25"/>
      <c r="L994" s="17">
        <v>23.0</v>
      </c>
      <c r="M994" s="17">
        <v>23.0</v>
      </c>
      <c r="N994" s="30">
        <v>10.0</v>
      </c>
      <c r="O994" s="30">
        <v>2.0</v>
      </c>
      <c r="P994" s="27"/>
      <c r="Q994" s="27"/>
      <c r="R994" s="27"/>
      <c r="S994" s="28"/>
      <c r="T994" s="29"/>
      <c r="U994" s="29"/>
      <c r="V994" s="24"/>
      <c r="W994" s="24"/>
    </row>
    <row r="995">
      <c r="A995" s="11">
        <v>45920.0</v>
      </c>
      <c r="B995" s="25"/>
      <c r="C995" s="25"/>
      <c r="D995" s="25"/>
      <c r="E995" s="25"/>
      <c r="F995" s="26"/>
      <c r="G995" s="25"/>
      <c r="H995" s="25"/>
      <c r="I995" s="25"/>
      <c r="J995" s="25"/>
      <c r="K995" s="25"/>
      <c r="L995" s="25"/>
      <c r="M995" s="25"/>
      <c r="N995" s="27"/>
      <c r="O995" s="27"/>
      <c r="P995" s="27"/>
      <c r="Q995" s="27"/>
      <c r="R995" s="27"/>
      <c r="S995" s="28"/>
      <c r="T995" s="29"/>
      <c r="U995" s="29"/>
      <c r="V995" s="24"/>
      <c r="W995" s="24"/>
    </row>
    <row r="996">
      <c r="A996" s="11">
        <v>45921.0</v>
      </c>
      <c r="B996" s="25"/>
      <c r="C996" s="25"/>
      <c r="D996" s="25"/>
      <c r="E996" s="25"/>
      <c r="F996" s="26"/>
      <c r="G996" s="25"/>
      <c r="H996" s="25"/>
      <c r="I996" s="25"/>
      <c r="J996" s="25"/>
      <c r="K996" s="25"/>
      <c r="L996" s="25"/>
      <c r="M996" s="25"/>
      <c r="N996" s="27"/>
      <c r="O996" s="27"/>
      <c r="P996" s="27"/>
      <c r="Q996" s="27"/>
      <c r="R996" s="27"/>
      <c r="S996" s="28"/>
      <c r="T996" s="29"/>
      <c r="U996" s="29"/>
      <c r="V996" s="24"/>
      <c r="W996" s="24"/>
    </row>
    <row r="997">
      <c r="A997" s="11">
        <v>45922.0</v>
      </c>
      <c r="B997" s="17">
        <v>18.0</v>
      </c>
      <c r="C997" s="17">
        <v>27.0</v>
      </c>
      <c r="D997" s="17" t="s">
        <v>73</v>
      </c>
      <c r="E997" s="17">
        <v>23.0</v>
      </c>
      <c r="F997" s="18">
        <v>44.0</v>
      </c>
      <c r="G997" s="25"/>
      <c r="H997" s="25"/>
      <c r="I997" s="25"/>
      <c r="J997" s="25"/>
      <c r="K997" s="25"/>
      <c r="L997" s="17">
        <v>21.0</v>
      </c>
      <c r="M997" s="17">
        <v>21.0</v>
      </c>
      <c r="N997" s="27"/>
      <c r="O997" s="27"/>
      <c r="P997" s="27"/>
      <c r="Q997" s="27"/>
      <c r="R997" s="27"/>
      <c r="S997" s="28"/>
      <c r="T997" s="29"/>
      <c r="U997" s="29"/>
      <c r="V997" s="24"/>
      <c r="W997" s="24"/>
    </row>
    <row r="998">
      <c r="A998" s="11">
        <v>45923.0</v>
      </c>
      <c r="B998" s="17">
        <v>21.0</v>
      </c>
      <c r="C998" s="17">
        <v>24.0</v>
      </c>
      <c r="D998" s="17" t="s">
        <v>73</v>
      </c>
      <c r="E998" s="17">
        <v>23.0</v>
      </c>
      <c r="F998" s="18">
        <v>55.0</v>
      </c>
      <c r="G998" s="25"/>
      <c r="H998" s="25"/>
      <c r="I998" s="25"/>
      <c r="J998" s="17">
        <v>1.9</v>
      </c>
      <c r="K998" s="25"/>
      <c r="L998" s="17">
        <v>20.0</v>
      </c>
      <c r="M998" s="17">
        <v>20.0</v>
      </c>
      <c r="N998" s="30">
        <v>10.0</v>
      </c>
      <c r="O998" s="27"/>
      <c r="P998" s="27"/>
      <c r="Q998" s="27"/>
      <c r="R998" s="27"/>
      <c r="S998" s="28"/>
      <c r="T998" s="29"/>
      <c r="U998" s="29"/>
      <c r="V998" s="36">
        <v>430000.0</v>
      </c>
      <c r="W998" s="36">
        <v>470000.0</v>
      </c>
    </row>
    <row r="999">
      <c r="A999" s="11">
        <v>45924.0</v>
      </c>
      <c r="B999" s="17">
        <v>16.0</v>
      </c>
      <c r="C999" s="17">
        <v>22.0</v>
      </c>
      <c r="D999" s="17" t="s">
        <v>79</v>
      </c>
      <c r="E999" s="17">
        <v>22.0</v>
      </c>
      <c r="F999" s="26"/>
      <c r="G999" s="25"/>
      <c r="H999" s="25"/>
      <c r="I999" s="25"/>
      <c r="J999" s="25"/>
      <c r="K999" s="25"/>
      <c r="L999" s="17">
        <v>20.0</v>
      </c>
      <c r="M999" s="17">
        <v>20.0</v>
      </c>
      <c r="N999" s="27"/>
      <c r="O999" s="27"/>
      <c r="P999" s="27"/>
      <c r="Q999" s="27"/>
      <c r="R999" s="27"/>
      <c r="S999" s="31">
        <v>10.54</v>
      </c>
      <c r="T999" s="40" t="s">
        <v>112</v>
      </c>
      <c r="U999" s="29"/>
      <c r="V999" s="24"/>
      <c r="W999" s="24"/>
    </row>
    <row r="1000">
      <c r="A1000" s="11">
        <v>45925.0</v>
      </c>
      <c r="B1000" s="17">
        <v>14.0</v>
      </c>
      <c r="C1000" s="17">
        <v>23.0</v>
      </c>
      <c r="D1000" s="17" t="s">
        <v>64</v>
      </c>
      <c r="E1000" s="17">
        <v>21.0</v>
      </c>
      <c r="F1000" s="18">
        <v>55.0</v>
      </c>
      <c r="G1000" s="25"/>
      <c r="H1000" s="25"/>
      <c r="I1000" s="25"/>
      <c r="J1000" s="17">
        <v>4.5</v>
      </c>
      <c r="K1000" s="25"/>
      <c r="L1000" s="17">
        <v>20.0</v>
      </c>
      <c r="M1000" s="17">
        <v>20.0</v>
      </c>
      <c r="N1000" s="27"/>
      <c r="O1000" s="27"/>
      <c r="P1000" s="27"/>
      <c r="Q1000" s="27"/>
      <c r="R1000" s="27"/>
      <c r="S1000" s="28"/>
      <c r="T1000" s="29"/>
      <c r="U1000" s="29"/>
      <c r="V1000" s="24"/>
      <c r="W1000" s="24"/>
    </row>
    <row r="1001">
      <c r="A1001" s="11">
        <v>45926.0</v>
      </c>
      <c r="B1001" s="17">
        <v>17.0</v>
      </c>
      <c r="C1001" s="17">
        <v>21.0</v>
      </c>
      <c r="D1001" s="17" t="s">
        <v>73</v>
      </c>
      <c r="E1001" s="17">
        <v>21.0</v>
      </c>
      <c r="F1001" s="18">
        <v>58.0</v>
      </c>
      <c r="G1001" s="25"/>
      <c r="H1001" s="25"/>
      <c r="I1001" s="25"/>
      <c r="J1001" s="17">
        <v>26.0</v>
      </c>
      <c r="K1001" s="25"/>
      <c r="L1001" s="17">
        <v>21.0</v>
      </c>
      <c r="M1001" s="17">
        <v>21.0</v>
      </c>
      <c r="N1001" s="30">
        <v>13.0</v>
      </c>
      <c r="O1001" s="27"/>
      <c r="P1001" s="27"/>
      <c r="Q1001" s="27"/>
      <c r="R1001" s="27"/>
      <c r="S1001" s="28"/>
      <c r="T1001" s="29"/>
      <c r="U1001" s="29"/>
      <c r="V1001" s="24"/>
      <c r="W1001" s="24"/>
    </row>
    <row r="1002">
      <c r="A1002" s="11">
        <v>45927.0</v>
      </c>
      <c r="B1002" s="25"/>
      <c r="C1002" s="25"/>
      <c r="D1002" s="25"/>
      <c r="E1002" s="25"/>
      <c r="F1002" s="26"/>
      <c r="G1002" s="25"/>
      <c r="H1002" s="25"/>
      <c r="I1002" s="25"/>
      <c r="J1002" s="25"/>
      <c r="K1002" s="25"/>
      <c r="L1002" s="25"/>
      <c r="M1002" s="25"/>
      <c r="N1002" s="27"/>
      <c r="O1002" s="27"/>
      <c r="P1002" s="27"/>
      <c r="Q1002" s="27"/>
      <c r="R1002" s="27"/>
      <c r="S1002" s="28"/>
      <c r="T1002" s="29"/>
      <c r="U1002" s="29"/>
      <c r="V1002" s="24"/>
      <c r="W1002" s="24"/>
    </row>
    <row r="1003">
      <c r="A1003" s="11">
        <v>45928.0</v>
      </c>
      <c r="B1003" s="25"/>
      <c r="C1003" s="25"/>
      <c r="D1003" s="25"/>
      <c r="E1003" s="25"/>
      <c r="F1003" s="26"/>
      <c r="G1003" s="25"/>
      <c r="H1003" s="25"/>
      <c r="I1003" s="25"/>
      <c r="J1003" s="25"/>
      <c r="K1003" s="25"/>
      <c r="L1003" s="25"/>
      <c r="M1003" s="25"/>
      <c r="N1003" s="27"/>
      <c r="O1003" s="27"/>
      <c r="P1003" s="27"/>
      <c r="Q1003" s="27"/>
      <c r="R1003" s="27"/>
      <c r="S1003" s="28"/>
      <c r="T1003" s="29"/>
      <c r="U1003" s="29"/>
      <c r="V1003" s="24"/>
      <c r="W1003" s="24"/>
    </row>
    <row r="1004">
      <c r="A1004" s="11">
        <v>45929.0</v>
      </c>
      <c r="B1004" s="17">
        <v>12.0</v>
      </c>
      <c r="C1004" s="17">
        <v>24.0</v>
      </c>
      <c r="D1004" s="17" t="s">
        <v>73</v>
      </c>
      <c r="E1004" s="17">
        <v>21.0</v>
      </c>
      <c r="F1004" s="18">
        <v>66.0</v>
      </c>
      <c r="G1004" s="25"/>
      <c r="H1004" s="25"/>
      <c r="I1004" s="25"/>
      <c r="J1004" s="25"/>
      <c r="K1004" s="25"/>
      <c r="L1004" s="17">
        <v>23.0</v>
      </c>
      <c r="M1004" s="17">
        <v>21.0</v>
      </c>
      <c r="N1004" s="27"/>
      <c r="O1004" s="27"/>
      <c r="P1004" s="27"/>
      <c r="Q1004" s="27"/>
      <c r="R1004" s="27"/>
      <c r="S1004" s="28"/>
      <c r="T1004" s="29"/>
      <c r="U1004" s="29"/>
      <c r="V1004" s="24"/>
      <c r="W1004" s="24"/>
    </row>
    <row r="1005">
      <c r="A1005" s="11">
        <v>45930.0</v>
      </c>
      <c r="B1005" s="17">
        <v>12.0</v>
      </c>
      <c r="C1005" s="17">
        <v>23.0</v>
      </c>
      <c r="D1005" s="17" t="s">
        <v>73</v>
      </c>
      <c r="E1005" s="17">
        <v>21.0</v>
      </c>
      <c r="F1005" s="18">
        <v>65.0</v>
      </c>
      <c r="G1005" s="25"/>
      <c r="H1005" s="25"/>
      <c r="I1005" s="25"/>
      <c r="J1005" s="25"/>
      <c r="K1005" s="25"/>
      <c r="L1005" s="17">
        <v>23.0</v>
      </c>
      <c r="M1005" s="17">
        <v>21.0</v>
      </c>
      <c r="N1005" s="30">
        <v>10.0</v>
      </c>
      <c r="O1005" s="30">
        <v>3.0</v>
      </c>
      <c r="P1005" s="27"/>
      <c r="Q1005" s="27"/>
      <c r="R1005" s="27"/>
      <c r="S1005" s="28"/>
      <c r="T1005" s="29"/>
      <c r="U1005" s="29"/>
      <c r="V1005" s="24"/>
      <c r="W1005" s="24"/>
    </row>
    <row r="1006">
      <c r="A1006" s="11">
        <v>45931.0</v>
      </c>
      <c r="B1006" s="17">
        <v>15.0</v>
      </c>
      <c r="C1006" s="17">
        <v>20.0</v>
      </c>
      <c r="D1006" s="17" t="s">
        <v>62</v>
      </c>
      <c r="E1006" s="17">
        <v>20.0</v>
      </c>
      <c r="F1006" s="18">
        <v>60.0</v>
      </c>
      <c r="G1006" s="25"/>
      <c r="H1006" s="25"/>
      <c r="I1006" s="25"/>
      <c r="J1006" s="17">
        <v>3.0</v>
      </c>
      <c r="K1006" s="25"/>
      <c r="L1006" s="17">
        <v>21.0</v>
      </c>
      <c r="M1006" s="17">
        <v>21.0</v>
      </c>
      <c r="N1006" s="27"/>
      <c r="O1006" s="27"/>
      <c r="P1006" s="27"/>
      <c r="Q1006" s="27"/>
      <c r="R1006" s="27"/>
      <c r="S1006" s="28"/>
      <c r="T1006" s="29"/>
      <c r="U1006" s="29"/>
      <c r="V1006" s="24"/>
      <c r="W1006" s="24"/>
    </row>
    <row r="1007">
      <c r="A1007" s="11">
        <v>45932.0</v>
      </c>
      <c r="B1007" s="17">
        <v>12.0</v>
      </c>
      <c r="C1007" s="17">
        <v>17.0</v>
      </c>
      <c r="D1007" s="17" t="s">
        <v>64</v>
      </c>
      <c r="E1007" s="17">
        <v>18.0</v>
      </c>
      <c r="F1007" s="18">
        <v>70.0</v>
      </c>
      <c r="G1007" s="25"/>
      <c r="H1007" s="25"/>
      <c r="I1007" s="25"/>
      <c r="J1007" s="17">
        <v>4.0</v>
      </c>
      <c r="K1007" s="25"/>
      <c r="L1007" s="17">
        <v>23.0</v>
      </c>
      <c r="M1007" s="17">
        <v>20.0</v>
      </c>
      <c r="N1007" s="30">
        <v>10.0</v>
      </c>
      <c r="O1007" s="27"/>
      <c r="P1007" s="27"/>
      <c r="Q1007" s="27"/>
      <c r="R1007" s="27"/>
      <c r="S1007" s="28"/>
      <c r="T1007" s="29"/>
      <c r="U1007" s="29"/>
      <c r="V1007" s="24"/>
      <c r="W1007" s="24"/>
    </row>
    <row r="1008">
      <c r="A1008" s="11">
        <v>45933.0</v>
      </c>
      <c r="B1008" s="17">
        <v>10.0</v>
      </c>
      <c r="C1008" s="17">
        <v>18.0</v>
      </c>
      <c r="D1008" s="17" t="s">
        <v>73</v>
      </c>
      <c r="E1008" s="17">
        <v>16.0</v>
      </c>
      <c r="F1008" s="18">
        <v>79.0</v>
      </c>
      <c r="G1008" s="25"/>
      <c r="H1008" s="25"/>
      <c r="I1008" s="25"/>
      <c r="J1008" s="17">
        <v>1.9</v>
      </c>
      <c r="K1008" s="25"/>
      <c r="L1008" s="17">
        <v>21.0</v>
      </c>
      <c r="M1008" s="17">
        <v>20.0</v>
      </c>
      <c r="N1008" s="27"/>
      <c r="O1008" s="30">
        <v>2.0</v>
      </c>
      <c r="P1008" s="27"/>
      <c r="Q1008" s="27"/>
      <c r="R1008" s="27"/>
      <c r="S1008" s="28"/>
      <c r="T1008" s="29"/>
      <c r="U1008" s="29"/>
      <c r="V1008" s="36">
        <v>360000.0</v>
      </c>
      <c r="W1008" s="36">
        <v>380000.0</v>
      </c>
    </row>
    <row r="1009">
      <c r="A1009" s="11">
        <v>45934.0</v>
      </c>
      <c r="B1009" s="25"/>
      <c r="C1009" s="25"/>
      <c r="D1009" s="25"/>
      <c r="E1009" s="25"/>
      <c r="F1009" s="26"/>
      <c r="G1009" s="25"/>
      <c r="H1009" s="25"/>
      <c r="I1009" s="25"/>
      <c r="J1009" s="17"/>
      <c r="K1009" s="25"/>
      <c r="L1009" s="25"/>
      <c r="M1009" s="25"/>
      <c r="N1009" s="27"/>
      <c r="O1009" s="27"/>
      <c r="P1009" s="27"/>
      <c r="Q1009" s="27"/>
      <c r="R1009" s="27"/>
      <c r="S1009" s="28"/>
      <c r="T1009" s="29"/>
      <c r="U1009" s="29"/>
      <c r="V1009" s="24"/>
      <c r="W1009" s="24"/>
    </row>
    <row r="1010">
      <c r="A1010" s="11">
        <v>45935.0</v>
      </c>
      <c r="B1010" s="25"/>
      <c r="C1010" s="25"/>
      <c r="D1010" s="25"/>
      <c r="E1010" s="25"/>
      <c r="F1010" s="26"/>
      <c r="G1010" s="25"/>
      <c r="H1010" s="25"/>
      <c r="I1010" s="25"/>
      <c r="J1010" s="25"/>
      <c r="K1010" s="25"/>
      <c r="L1010" s="25"/>
      <c r="M1010" s="25"/>
      <c r="N1010" s="30">
        <v>8.0</v>
      </c>
      <c r="O1010" s="30">
        <v>2.0</v>
      </c>
      <c r="P1010" s="27"/>
      <c r="Q1010" s="27"/>
      <c r="R1010" s="27"/>
      <c r="S1010" s="28"/>
      <c r="T1010" s="29"/>
      <c r="U1010" s="29"/>
      <c r="V1010" s="24"/>
      <c r="W1010" s="24"/>
    </row>
    <row r="1011">
      <c r="A1011" s="11">
        <v>45936.0</v>
      </c>
      <c r="B1011" s="17">
        <v>11.0</v>
      </c>
      <c r="C1011" s="17">
        <v>19.0</v>
      </c>
      <c r="D1011" s="17" t="s">
        <v>73</v>
      </c>
      <c r="E1011" s="17">
        <v>18.0</v>
      </c>
      <c r="F1011" s="18">
        <v>82.0</v>
      </c>
      <c r="G1011" s="39" t="s">
        <v>113</v>
      </c>
      <c r="H1011" s="25"/>
      <c r="I1011" s="25"/>
      <c r="J1011" s="17">
        <v>4.2</v>
      </c>
      <c r="K1011" s="25"/>
      <c r="L1011" s="17">
        <v>20.0</v>
      </c>
      <c r="M1011" s="17">
        <v>17.0</v>
      </c>
      <c r="N1011" s="27"/>
      <c r="O1011" s="27"/>
      <c r="P1011" s="27"/>
      <c r="Q1011" s="27"/>
      <c r="R1011" s="27"/>
      <c r="S1011" s="28"/>
      <c r="T1011" s="29"/>
      <c r="U1011" s="29"/>
      <c r="V1011" s="24"/>
      <c r="W1011" s="24"/>
    </row>
    <row r="1012">
      <c r="A1012" s="11">
        <v>45937.0</v>
      </c>
      <c r="B1012" s="17">
        <v>6.0</v>
      </c>
      <c r="C1012" s="17">
        <v>22.0</v>
      </c>
      <c r="D1012" s="17" t="s">
        <v>64</v>
      </c>
      <c r="E1012" s="17">
        <v>18.0</v>
      </c>
      <c r="F1012" s="18">
        <v>113.0</v>
      </c>
      <c r="G1012" s="25"/>
      <c r="H1012" s="25"/>
      <c r="I1012" s="25"/>
      <c r="J1012" s="25"/>
      <c r="K1012" s="25"/>
      <c r="L1012" s="17">
        <v>23.0</v>
      </c>
      <c r="M1012" s="17">
        <v>20.0</v>
      </c>
      <c r="N1012" s="30">
        <v>12.0</v>
      </c>
      <c r="O1012" s="27"/>
      <c r="P1012" s="27"/>
      <c r="Q1012" s="27"/>
      <c r="R1012" s="27"/>
      <c r="S1012" s="28"/>
      <c r="T1012" s="29"/>
      <c r="U1012" s="29"/>
      <c r="V1012" s="24"/>
      <c r="W1012" s="24"/>
    </row>
    <row r="1013">
      <c r="A1013" s="11">
        <v>45938.0</v>
      </c>
      <c r="B1013" s="17">
        <v>9.0</v>
      </c>
      <c r="C1013" s="17">
        <v>21.0</v>
      </c>
      <c r="D1013" s="17" t="s">
        <v>114</v>
      </c>
      <c r="E1013" s="17">
        <v>18.0</v>
      </c>
      <c r="F1013" s="18">
        <v>106.0</v>
      </c>
      <c r="G1013" s="25"/>
      <c r="H1013" s="25"/>
      <c r="I1013" s="25"/>
      <c r="J1013" s="17">
        <v>4.0</v>
      </c>
      <c r="K1013" s="25"/>
      <c r="L1013" s="17">
        <v>27.0</v>
      </c>
      <c r="M1013" s="17">
        <v>29.0</v>
      </c>
      <c r="N1013" s="27"/>
      <c r="O1013" s="27"/>
      <c r="P1013" s="27"/>
      <c r="Q1013" s="27"/>
      <c r="R1013" s="27"/>
      <c r="S1013" s="28"/>
      <c r="T1013" s="29"/>
      <c r="U1013" s="29"/>
      <c r="V1013" s="36">
        <v>390000.0</v>
      </c>
      <c r="W1013" s="36">
        <v>400000.0</v>
      </c>
    </row>
    <row r="1014">
      <c r="A1014" s="11">
        <v>45939.0</v>
      </c>
      <c r="B1014" s="17">
        <v>12.0</v>
      </c>
      <c r="C1014" s="17">
        <v>21.0</v>
      </c>
      <c r="D1014" s="17" t="s">
        <v>73</v>
      </c>
      <c r="E1014" s="17">
        <v>18.0</v>
      </c>
      <c r="F1014" s="18">
        <v>104.0</v>
      </c>
      <c r="G1014" s="25"/>
      <c r="H1014" s="25"/>
      <c r="I1014" s="25"/>
      <c r="J1014" s="25"/>
      <c r="K1014" s="25"/>
      <c r="L1014" s="17">
        <v>26.0</v>
      </c>
      <c r="M1014" s="17">
        <v>27.0</v>
      </c>
      <c r="N1014" s="30">
        <v>10.0</v>
      </c>
      <c r="O1014" s="27"/>
      <c r="P1014" s="27"/>
      <c r="Q1014" s="27"/>
      <c r="R1014" s="27"/>
      <c r="S1014" s="28"/>
      <c r="T1014" s="29"/>
      <c r="U1014" s="29"/>
      <c r="V1014" s="24"/>
      <c r="W1014" s="24"/>
    </row>
    <row r="1015">
      <c r="A1015" s="11">
        <v>45940.0</v>
      </c>
      <c r="B1015" s="17">
        <v>10.0</v>
      </c>
      <c r="C1015" s="17">
        <v>23.0</v>
      </c>
      <c r="D1015" s="17" t="s">
        <v>114</v>
      </c>
      <c r="E1015" s="17">
        <v>18.0</v>
      </c>
      <c r="F1015" s="18">
        <v>120.0</v>
      </c>
      <c r="G1015" s="25"/>
      <c r="H1015" s="25"/>
      <c r="I1015" s="25"/>
      <c r="J1015" s="17">
        <v>7.2</v>
      </c>
      <c r="K1015" s="25"/>
      <c r="L1015" s="17">
        <v>26.0</v>
      </c>
      <c r="M1015" s="17">
        <v>24.0</v>
      </c>
      <c r="N1015" s="27"/>
      <c r="O1015" s="27"/>
      <c r="P1015" s="27"/>
      <c r="Q1015" s="27"/>
      <c r="R1015" s="27"/>
      <c r="S1015" s="28"/>
      <c r="T1015" s="29"/>
      <c r="U1015" s="29"/>
      <c r="V1015" s="24"/>
      <c r="W1015" s="24"/>
    </row>
    <row r="1016">
      <c r="A1016" s="11">
        <v>45941.0</v>
      </c>
      <c r="B1016" s="17"/>
      <c r="C1016" s="17"/>
      <c r="D1016" s="17"/>
      <c r="E1016" s="25"/>
      <c r="F1016" s="26"/>
      <c r="G1016" s="25"/>
      <c r="H1016" s="25"/>
      <c r="I1016" s="25"/>
      <c r="J1016" s="25"/>
      <c r="K1016" s="25"/>
      <c r="L1016" s="25"/>
      <c r="M1016" s="25"/>
      <c r="N1016" s="27"/>
      <c r="O1016" s="27"/>
      <c r="P1016" s="27"/>
      <c r="Q1016" s="27"/>
      <c r="R1016" s="27"/>
      <c r="S1016" s="28"/>
      <c r="T1016" s="29"/>
      <c r="U1016" s="29"/>
      <c r="V1016" s="24"/>
      <c r="W1016" s="24"/>
    </row>
    <row r="1017">
      <c r="A1017" s="11">
        <v>45942.0</v>
      </c>
      <c r="B1017" s="25"/>
      <c r="C1017" s="25"/>
      <c r="D1017" s="25"/>
      <c r="E1017" s="25"/>
      <c r="F1017" s="26"/>
      <c r="G1017" s="25"/>
      <c r="H1017" s="25"/>
      <c r="I1017" s="25"/>
      <c r="J1017" s="25"/>
      <c r="K1017" s="25"/>
      <c r="L1017" s="25"/>
      <c r="M1017" s="25"/>
      <c r="N1017" s="30">
        <v>13.0</v>
      </c>
      <c r="O1017" s="27"/>
      <c r="P1017" s="27"/>
      <c r="Q1017" s="27"/>
      <c r="R1017" s="27"/>
      <c r="S1017" s="28"/>
      <c r="T1017" s="29"/>
      <c r="U1017" s="29"/>
      <c r="V1017" s="24"/>
      <c r="W1017" s="24"/>
    </row>
    <row r="1018">
      <c r="A1018" s="11">
        <v>45943.0</v>
      </c>
      <c r="B1018" s="17">
        <v>12.0</v>
      </c>
      <c r="C1018" s="17">
        <v>21.0</v>
      </c>
      <c r="D1018" s="17" t="s">
        <v>62</v>
      </c>
      <c r="E1018" s="17">
        <v>20.0</v>
      </c>
      <c r="F1018" s="18">
        <v>130.0</v>
      </c>
      <c r="G1018" s="25"/>
      <c r="H1018" s="25"/>
      <c r="I1018" s="25"/>
      <c r="J1018" s="17">
        <v>4.0</v>
      </c>
      <c r="K1018" s="25"/>
      <c r="L1018" s="17">
        <v>24.0</v>
      </c>
      <c r="M1018" s="17">
        <v>24.0</v>
      </c>
      <c r="N1018" s="27"/>
      <c r="O1018" s="27"/>
      <c r="P1018" s="27"/>
      <c r="Q1018" s="27"/>
      <c r="R1018" s="27"/>
      <c r="S1018" s="28"/>
      <c r="T1018" s="29"/>
      <c r="U1018" s="29"/>
      <c r="V1018" s="24"/>
      <c r="W1018" s="24"/>
    </row>
    <row r="1019">
      <c r="A1019" s="11">
        <v>45944.0</v>
      </c>
      <c r="B1019" s="17">
        <v>11.0</v>
      </c>
      <c r="C1019" s="17">
        <v>20.0</v>
      </c>
      <c r="D1019" s="17" t="s">
        <v>73</v>
      </c>
      <c r="E1019" s="17">
        <v>20.0</v>
      </c>
      <c r="F1019" s="18">
        <v>140.0</v>
      </c>
      <c r="G1019" s="25"/>
      <c r="H1019" s="25"/>
      <c r="I1019" s="25"/>
      <c r="J1019" s="25"/>
      <c r="K1019" s="25"/>
      <c r="L1019" s="17">
        <v>25.0</v>
      </c>
      <c r="M1019" s="17">
        <v>24.0</v>
      </c>
      <c r="N1019" s="27"/>
      <c r="O1019" s="27"/>
      <c r="P1019" s="27"/>
      <c r="Q1019" s="27"/>
      <c r="R1019" s="27"/>
      <c r="S1019" s="28"/>
      <c r="T1019" s="29"/>
      <c r="U1019" s="29"/>
      <c r="V1019" s="24"/>
      <c r="W1019" s="24"/>
    </row>
    <row r="1020">
      <c r="A1020" s="11">
        <v>45945.0</v>
      </c>
      <c r="B1020" s="17">
        <v>12.0</v>
      </c>
      <c r="C1020" s="17">
        <v>19.0</v>
      </c>
      <c r="D1020" s="17" t="s">
        <v>73</v>
      </c>
      <c r="E1020" s="17">
        <v>18.0</v>
      </c>
      <c r="F1020" s="18">
        <v>160.0</v>
      </c>
      <c r="G1020" s="25"/>
      <c r="H1020" s="25"/>
      <c r="I1020" s="25"/>
      <c r="J1020" s="17">
        <v>4.9</v>
      </c>
      <c r="K1020" s="25"/>
      <c r="L1020" s="17">
        <v>22.0</v>
      </c>
      <c r="M1020" s="17">
        <v>26.0</v>
      </c>
      <c r="N1020" s="27"/>
      <c r="O1020" s="27"/>
      <c r="P1020" s="27"/>
      <c r="Q1020" s="30" t="s">
        <v>98</v>
      </c>
      <c r="R1020" s="27"/>
      <c r="S1020" s="28"/>
      <c r="T1020" s="29"/>
      <c r="U1020" s="29"/>
      <c r="V1020" s="36">
        <v>520000.0</v>
      </c>
      <c r="W1020" s="36">
        <v>250000.0</v>
      </c>
    </row>
    <row r="1021">
      <c r="A1021" s="11">
        <v>45946.0</v>
      </c>
      <c r="B1021" s="17">
        <v>11.0</v>
      </c>
      <c r="C1021" s="17">
        <v>20.0</v>
      </c>
      <c r="D1021" s="17" t="s">
        <v>64</v>
      </c>
      <c r="E1021" s="17">
        <v>18.0</v>
      </c>
      <c r="F1021" s="18">
        <v>138.0</v>
      </c>
      <c r="G1021" s="25"/>
      <c r="H1021" s="25"/>
      <c r="I1021" s="25"/>
      <c r="J1021" s="25"/>
      <c r="K1021" s="25"/>
      <c r="L1021" s="17">
        <v>22.0</v>
      </c>
      <c r="M1021" s="17">
        <v>21.0</v>
      </c>
      <c r="N1021" s="30">
        <v>9.0</v>
      </c>
      <c r="O1021" s="27"/>
      <c r="P1021" s="30" t="s">
        <v>115</v>
      </c>
      <c r="Q1021" s="27"/>
      <c r="R1021" s="27"/>
      <c r="S1021" s="28"/>
      <c r="T1021" s="29"/>
      <c r="U1021" s="29"/>
      <c r="V1021" s="24"/>
      <c r="W1021" s="24"/>
    </row>
    <row r="1022">
      <c r="A1022" s="11">
        <v>45947.0</v>
      </c>
      <c r="B1022" s="17">
        <v>11.0</v>
      </c>
      <c r="C1022" s="17">
        <v>18.0</v>
      </c>
      <c r="D1022" s="17" t="s">
        <v>73</v>
      </c>
      <c r="E1022" s="17">
        <v>18.0</v>
      </c>
      <c r="F1022" s="18">
        <v>145.0</v>
      </c>
      <c r="G1022" s="25"/>
      <c r="H1022" s="25"/>
      <c r="I1022" s="25"/>
      <c r="J1022" s="25"/>
      <c r="K1022" s="25"/>
      <c r="L1022" s="17">
        <v>22.0</v>
      </c>
      <c r="M1022" s="17">
        <v>22.0</v>
      </c>
      <c r="N1022" s="30">
        <v>12.0</v>
      </c>
      <c r="O1022" s="27"/>
      <c r="P1022" s="27"/>
      <c r="Q1022" s="27"/>
      <c r="R1022" s="27"/>
      <c r="S1022" s="28"/>
      <c r="T1022" s="29"/>
      <c r="U1022" s="29"/>
      <c r="V1022" s="24"/>
      <c r="W1022" s="24"/>
    </row>
    <row r="1023">
      <c r="A1023" s="11">
        <v>45948.0</v>
      </c>
      <c r="B1023" s="25"/>
      <c r="C1023" s="25"/>
      <c r="D1023" s="25"/>
      <c r="E1023" s="25"/>
      <c r="F1023" s="26"/>
      <c r="G1023" s="25"/>
      <c r="H1023" s="25"/>
      <c r="I1023" s="25"/>
      <c r="J1023" s="25"/>
      <c r="K1023" s="25"/>
      <c r="L1023" s="25"/>
      <c r="M1023" s="25"/>
      <c r="N1023" s="27"/>
      <c r="O1023" s="27"/>
      <c r="P1023" s="27"/>
      <c r="Q1023" s="27"/>
      <c r="R1023" s="27"/>
      <c r="S1023" s="28"/>
      <c r="T1023" s="29"/>
      <c r="U1023" s="29"/>
      <c r="V1023" s="24"/>
      <c r="W1023" s="24"/>
    </row>
    <row r="1024">
      <c r="A1024" s="11">
        <v>45949.0</v>
      </c>
      <c r="B1024" s="25"/>
      <c r="C1024" s="25"/>
      <c r="D1024" s="25"/>
      <c r="E1024" s="25"/>
      <c r="F1024" s="26"/>
      <c r="G1024" s="25"/>
      <c r="H1024" s="25"/>
      <c r="I1024" s="25"/>
      <c r="J1024" s="25"/>
      <c r="K1024" s="25"/>
      <c r="L1024" s="25"/>
      <c r="M1024" s="25"/>
      <c r="N1024" s="30">
        <v>23.0</v>
      </c>
      <c r="O1024" s="27"/>
      <c r="P1024" s="27"/>
      <c r="Q1024" s="27"/>
      <c r="R1024" s="27"/>
      <c r="S1024" s="28"/>
      <c r="T1024" s="29"/>
      <c r="U1024" s="29"/>
      <c r="V1024" s="24"/>
      <c r="W1024" s="24"/>
    </row>
    <row r="1025">
      <c r="A1025" s="11">
        <v>45950.0</v>
      </c>
      <c r="B1025" s="17">
        <v>10.0</v>
      </c>
      <c r="C1025" s="17">
        <v>18.0</v>
      </c>
      <c r="D1025" s="17" t="s">
        <v>73</v>
      </c>
      <c r="E1025" s="17">
        <v>18.0</v>
      </c>
      <c r="F1025" s="18">
        <v>145.0</v>
      </c>
      <c r="G1025" s="25"/>
      <c r="H1025" s="25"/>
      <c r="I1025" s="25"/>
      <c r="J1025" s="17">
        <v>2.5</v>
      </c>
      <c r="K1025" s="25"/>
      <c r="L1025" s="17">
        <v>25.0</v>
      </c>
      <c r="M1025" s="17">
        <v>24.0</v>
      </c>
      <c r="N1025" s="27"/>
      <c r="O1025" s="27"/>
      <c r="P1025" s="27"/>
      <c r="Q1025" s="27"/>
      <c r="R1025" s="27"/>
      <c r="S1025" s="28"/>
      <c r="T1025" s="29"/>
      <c r="U1025" s="29"/>
      <c r="V1025" s="24"/>
      <c r="W1025" s="24"/>
    </row>
    <row r="1026">
      <c r="A1026" s="11">
        <v>45951.0</v>
      </c>
      <c r="B1026" s="17">
        <v>14.0</v>
      </c>
      <c r="C1026" s="17">
        <v>17.0</v>
      </c>
      <c r="D1026" s="17" t="s">
        <v>79</v>
      </c>
      <c r="E1026" s="17">
        <v>18.0</v>
      </c>
      <c r="F1026" s="18">
        <v>150.0</v>
      </c>
      <c r="G1026" s="25"/>
      <c r="H1026" s="25"/>
      <c r="I1026" s="25"/>
      <c r="J1026" s="25"/>
      <c r="K1026" s="25"/>
      <c r="L1026" s="17">
        <v>26.0</v>
      </c>
      <c r="M1026" s="17">
        <v>25.0</v>
      </c>
      <c r="N1026" s="27"/>
      <c r="O1026" s="27"/>
      <c r="P1026" s="27"/>
      <c r="Q1026" s="27"/>
      <c r="R1026" s="27"/>
      <c r="S1026" s="28"/>
      <c r="T1026" s="29"/>
      <c r="U1026" s="29"/>
      <c r="V1026" s="36">
        <v>610000.0</v>
      </c>
      <c r="W1026" s="36">
        <v>380000.0</v>
      </c>
    </row>
    <row r="1027">
      <c r="A1027" s="11">
        <v>45952.0</v>
      </c>
      <c r="B1027" s="17">
        <v>11.0</v>
      </c>
      <c r="C1027" s="17">
        <v>19.0</v>
      </c>
      <c r="D1027" s="17" t="s">
        <v>116</v>
      </c>
      <c r="E1027" s="17">
        <v>18.0</v>
      </c>
      <c r="F1027" s="18">
        <v>130.0</v>
      </c>
      <c r="G1027" s="25"/>
      <c r="H1027" s="25"/>
      <c r="I1027" s="25"/>
      <c r="J1027" s="17">
        <v>3.0</v>
      </c>
      <c r="K1027" s="25"/>
      <c r="L1027" s="17">
        <v>25.0</v>
      </c>
      <c r="M1027" s="17">
        <v>25.0</v>
      </c>
      <c r="N1027" s="27"/>
      <c r="O1027" s="27"/>
      <c r="P1027" s="27"/>
      <c r="Q1027" s="27"/>
      <c r="R1027" s="27"/>
      <c r="S1027" s="28"/>
      <c r="T1027" s="29"/>
      <c r="U1027" s="29"/>
      <c r="V1027" s="36">
        <v>480000.0</v>
      </c>
      <c r="W1027" s="36">
        <v>290000.0</v>
      </c>
    </row>
    <row r="1028">
      <c r="A1028" s="11">
        <v>45953.0</v>
      </c>
      <c r="B1028" s="17">
        <v>14.0</v>
      </c>
      <c r="C1028" s="17">
        <v>20.0</v>
      </c>
      <c r="D1028" s="17" t="s">
        <v>116</v>
      </c>
      <c r="E1028" s="17">
        <v>18.0</v>
      </c>
      <c r="F1028" s="18">
        <v>130.0</v>
      </c>
      <c r="G1028" s="25"/>
      <c r="H1028" s="25"/>
      <c r="I1028" s="25"/>
      <c r="J1028" s="25"/>
      <c r="K1028" s="25"/>
      <c r="L1028" s="17">
        <v>26.0</v>
      </c>
      <c r="M1028" s="17">
        <v>25.0</v>
      </c>
      <c r="N1028" s="27"/>
      <c r="O1028" s="27"/>
      <c r="P1028" s="27"/>
      <c r="Q1028" s="27"/>
      <c r="R1028" s="27"/>
      <c r="S1028" s="28"/>
      <c r="T1028" s="29"/>
      <c r="U1028" s="29"/>
      <c r="V1028" s="36"/>
      <c r="W1028" s="24"/>
    </row>
    <row r="1029">
      <c r="A1029" s="11">
        <v>45954.0</v>
      </c>
      <c r="B1029" s="17">
        <v>11.0</v>
      </c>
      <c r="C1029" s="17">
        <v>18.0</v>
      </c>
      <c r="D1029" s="17" t="s">
        <v>64</v>
      </c>
      <c r="E1029" s="17">
        <v>17.0</v>
      </c>
      <c r="F1029" s="18">
        <v>90.0</v>
      </c>
      <c r="G1029" s="25"/>
      <c r="H1029" s="25"/>
      <c r="I1029" s="25"/>
      <c r="J1029" s="17">
        <v>3.2</v>
      </c>
      <c r="K1029" s="25"/>
      <c r="L1029" s="17">
        <v>30.0</v>
      </c>
      <c r="M1029" s="17">
        <v>30.0</v>
      </c>
      <c r="N1029" s="30">
        <v>35.0</v>
      </c>
      <c r="O1029" s="27"/>
      <c r="P1029" s="27"/>
      <c r="Q1029" s="27"/>
      <c r="R1029" s="27"/>
      <c r="S1029" s="28"/>
      <c r="T1029" s="29"/>
      <c r="U1029" s="29"/>
      <c r="V1029" s="36">
        <v>430000.0</v>
      </c>
      <c r="W1029" s="36">
        <v>400000.0</v>
      </c>
    </row>
    <row r="1030">
      <c r="A1030" s="11">
        <v>45955.0</v>
      </c>
      <c r="B1030" s="25"/>
      <c r="C1030" s="25"/>
      <c r="D1030" s="25"/>
      <c r="E1030" s="25"/>
      <c r="F1030" s="26"/>
      <c r="G1030" s="25"/>
      <c r="H1030" s="25"/>
      <c r="I1030" s="25"/>
      <c r="J1030" s="25"/>
      <c r="K1030" s="25"/>
      <c r="L1030" s="25"/>
      <c r="M1030" s="25"/>
      <c r="N1030" s="27"/>
      <c r="O1030" s="27"/>
      <c r="P1030" s="27"/>
      <c r="Q1030" s="27"/>
      <c r="R1030" s="27"/>
      <c r="S1030" s="28"/>
      <c r="T1030" s="29"/>
      <c r="U1030" s="29"/>
      <c r="V1030" s="24"/>
      <c r="W1030" s="24"/>
    </row>
    <row r="1031">
      <c r="A1031" s="11">
        <v>45956.0</v>
      </c>
      <c r="B1031" s="25"/>
      <c r="C1031" s="25"/>
      <c r="D1031" s="25"/>
      <c r="E1031" s="25"/>
      <c r="F1031" s="26"/>
      <c r="G1031" s="25"/>
      <c r="H1031" s="25"/>
      <c r="I1031" s="25"/>
      <c r="J1031" s="25"/>
      <c r="K1031" s="25"/>
      <c r="L1031" s="25"/>
      <c r="M1031" s="25"/>
      <c r="N1031" s="27"/>
      <c r="O1031" s="27"/>
      <c r="P1031" s="27"/>
      <c r="Q1031" s="27"/>
      <c r="R1031" s="27"/>
      <c r="S1031" s="28"/>
      <c r="T1031" s="29"/>
      <c r="U1031" s="29"/>
      <c r="V1031" s="24"/>
      <c r="W1031" s="24"/>
    </row>
    <row r="1032">
      <c r="A1032" s="11">
        <v>45957.0</v>
      </c>
      <c r="B1032" s="17">
        <v>9.0</v>
      </c>
      <c r="C1032" s="17">
        <v>17.0</v>
      </c>
      <c r="D1032" s="17" t="s">
        <v>64</v>
      </c>
      <c r="E1032" s="17">
        <v>17.0</v>
      </c>
      <c r="F1032" s="18">
        <v>140.0</v>
      </c>
      <c r="G1032" s="25"/>
      <c r="H1032" s="25"/>
      <c r="I1032" s="25"/>
      <c r="J1032" s="17">
        <v>3.6</v>
      </c>
      <c r="K1032" s="25"/>
      <c r="L1032" s="17">
        <v>30.0</v>
      </c>
      <c r="M1032" s="17">
        <v>30.0</v>
      </c>
      <c r="N1032" s="30">
        <v>15.0</v>
      </c>
      <c r="O1032" s="27"/>
      <c r="P1032" s="27"/>
      <c r="Q1032" s="27"/>
      <c r="R1032" s="27"/>
      <c r="S1032" s="28"/>
      <c r="T1032" s="29"/>
      <c r="U1032" s="29"/>
      <c r="V1032" s="36">
        <v>440000.0</v>
      </c>
      <c r="W1032" s="36">
        <v>230000.0</v>
      </c>
    </row>
    <row r="1033">
      <c r="A1033" s="11">
        <v>45958.0</v>
      </c>
      <c r="B1033" s="17">
        <v>7.0</v>
      </c>
      <c r="C1033" s="17">
        <v>18.0</v>
      </c>
      <c r="D1033" s="17" t="s">
        <v>64</v>
      </c>
      <c r="E1033" s="17">
        <v>16.0</v>
      </c>
      <c r="F1033" s="18">
        <v>150.0</v>
      </c>
      <c r="G1033" s="25"/>
      <c r="H1033" s="25"/>
      <c r="I1033" s="25"/>
      <c r="J1033" s="17">
        <v>3.7</v>
      </c>
      <c r="K1033" s="25"/>
      <c r="L1033" s="17">
        <v>30.0</v>
      </c>
      <c r="M1033" s="17">
        <v>28.0</v>
      </c>
      <c r="N1033" s="27"/>
      <c r="O1033" s="27"/>
      <c r="P1033" s="27"/>
      <c r="Q1033" s="27"/>
      <c r="R1033" s="27"/>
      <c r="S1033" s="28"/>
      <c r="T1033" s="29"/>
      <c r="U1033" s="29"/>
      <c r="V1033" s="36">
        <v>540000.0</v>
      </c>
      <c r="W1033" s="36">
        <v>180000.0</v>
      </c>
    </row>
    <row r="1034">
      <c r="A1034" s="11">
        <v>45959.0</v>
      </c>
      <c r="B1034" s="17">
        <v>9.0</v>
      </c>
      <c r="C1034" s="17">
        <v>19.0</v>
      </c>
      <c r="D1034" s="17" t="s">
        <v>64</v>
      </c>
      <c r="E1034" s="17">
        <v>16.0</v>
      </c>
      <c r="F1034" s="18">
        <v>160.0</v>
      </c>
      <c r="G1034" s="25"/>
      <c r="H1034" s="25"/>
      <c r="I1034" s="25"/>
      <c r="J1034" s="25"/>
      <c r="K1034" s="25"/>
      <c r="L1034" s="17">
        <v>30.0</v>
      </c>
      <c r="M1034" s="17">
        <v>30.0</v>
      </c>
      <c r="N1034" s="30">
        <v>15.0</v>
      </c>
      <c r="O1034" s="27"/>
      <c r="P1034" s="27"/>
      <c r="Q1034" s="27"/>
      <c r="R1034" s="27"/>
      <c r="S1034" s="28"/>
      <c r="T1034" s="29"/>
      <c r="U1034" s="29"/>
      <c r="V1034" s="36">
        <v>450000.0</v>
      </c>
      <c r="W1034" s="36">
        <v>240000.0</v>
      </c>
    </row>
    <row r="1035">
      <c r="A1035" s="11">
        <v>45960.0</v>
      </c>
      <c r="B1035" s="17">
        <v>16.0</v>
      </c>
      <c r="C1035" s="17">
        <v>19.0</v>
      </c>
      <c r="D1035" s="17" t="s">
        <v>62</v>
      </c>
      <c r="E1035" s="17">
        <v>16.0</v>
      </c>
      <c r="F1035" s="18">
        <v>75.0</v>
      </c>
      <c r="G1035" s="25"/>
      <c r="H1035" s="25"/>
      <c r="I1035" s="25"/>
      <c r="J1035" s="25"/>
      <c r="K1035" s="25"/>
      <c r="L1035" s="17">
        <v>30.0</v>
      </c>
      <c r="M1035" s="17">
        <v>29.0</v>
      </c>
      <c r="N1035" s="27"/>
      <c r="O1035" s="27"/>
      <c r="P1035" s="27"/>
      <c r="Q1035" s="27"/>
      <c r="R1035" s="27"/>
      <c r="S1035" s="28"/>
      <c r="T1035" s="29"/>
      <c r="U1035" s="29"/>
      <c r="V1035" s="24"/>
      <c r="W1035" s="24"/>
    </row>
    <row r="1036">
      <c r="A1036" s="11">
        <v>45961.0</v>
      </c>
      <c r="B1036" s="17">
        <v>15.0</v>
      </c>
      <c r="C1036" s="17">
        <v>20.0</v>
      </c>
      <c r="D1036" s="17" t="s">
        <v>73</v>
      </c>
      <c r="E1036" s="17">
        <v>17.0</v>
      </c>
      <c r="F1036" s="18">
        <v>130.0</v>
      </c>
      <c r="G1036" s="25"/>
      <c r="H1036" s="25"/>
      <c r="I1036" s="25"/>
      <c r="J1036" s="17">
        <v>3.0</v>
      </c>
      <c r="K1036" s="25"/>
      <c r="L1036" s="17">
        <v>27.0</v>
      </c>
      <c r="M1036" s="17">
        <v>26.0</v>
      </c>
      <c r="N1036" s="27"/>
      <c r="O1036" s="27"/>
      <c r="P1036" s="27"/>
      <c r="Q1036" s="27"/>
      <c r="R1036" s="27"/>
      <c r="S1036" s="28"/>
      <c r="T1036" s="29"/>
      <c r="U1036" s="29"/>
      <c r="V1036" s="36">
        <v>460000.0</v>
      </c>
      <c r="W1036" s="36">
        <v>340000.0</v>
      </c>
    </row>
    <row r="1037">
      <c r="A1037" s="11">
        <v>45962.0</v>
      </c>
      <c r="B1037" s="25"/>
      <c r="C1037" s="25"/>
      <c r="D1037" s="25"/>
      <c r="E1037" s="25"/>
      <c r="F1037" s="26"/>
      <c r="G1037" s="25"/>
      <c r="H1037" s="25"/>
      <c r="I1037" s="25"/>
      <c r="J1037" s="25"/>
      <c r="K1037" s="25"/>
      <c r="L1037" s="25"/>
      <c r="M1037" s="25"/>
      <c r="N1037" s="27"/>
      <c r="O1037" s="27"/>
      <c r="P1037" s="27"/>
      <c r="Q1037" s="27"/>
      <c r="R1037" s="27"/>
      <c r="S1037" s="28"/>
      <c r="T1037" s="29"/>
      <c r="U1037" s="29"/>
      <c r="V1037" s="24"/>
      <c r="W1037" s="24"/>
    </row>
    <row r="1038">
      <c r="A1038" s="11">
        <v>45963.0</v>
      </c>
      <c r="B1038" s="25"/>
      <c r="C1038" s="25"/>
      <c r="D1038" s="25"/>
      <c r="E1038" s="25"/>
      <c r="F1038" s="26"/>
      <c r="G1038" s="25"/>
      <c r="H1038" s="25"/>
      <c r="I1038" s="25"/>
      <c r="J1038" s="25"/>
      <c r="K1038" s="25"/>
      <c r="L1038" s="25"/>
      <c r="M1038" s="25"/>
      <c r="N1038" s="30">
        <v>20.0</v>
      </c>
      <c r="O1038" s="27"/>
      <c r="P1038" s="27"/>
      <c r="Q1038" s="27"/>
      <c r="R1038" s="27"/>
      <c r="S1038" s="28"/>
      <c r="T1038" s="29"/>
      <c r="U1038" s="29"/>
      <c r="V1038" s="24"/>
      <c r="W1038" s="24"/>
    </row>
    <row r="1039">
      <c r="A1039" s="11">
        <v>45964.0</v>
      </c>
      <c r="B1039" s="17">
        <v>11.0</v>
      </c>
      <c r="C1039" s="17">
        <v>18.0</v>
      </c>
      <c r="D1039" s="17" t="s">
        <v>64</v>
      </c>
      <c r="E1039" s="17">
        <v>18.0</v>
      </c>
      <c r="F1039" s="18">
        <v>140.0</v>
      </c>
      <c r="G1039" s="17" t="s">
        <v>117</v>
      </c>
      <c r="H1039" s="25"/>
      <c r="I1039" s="25"/>
      <c r="J1039" s="17">
        <v>4.0</v>
      </c>
      <c r="K1039" s="25"/>
      <c r="L1039" s="17">
        <v>29.0</v>
      </c>
      <c r="M1039" s="17">
        <v>27.0</v>
      </c>
      <c r="N1039" s="27"/>
      <c r="O1039" s="27"/>
      <c r="P1039" s="27"/>
      <c r="Q1039" s="27"/>
      <c r="R1039" s="27"/>
      <c r="S1039" s="28"/>
      <c r="T1039" s="29"/>
      <c r="U1039" s="29"/>
      <c r="V1039" s="36">
        <v>440000.0</v>
      </c>
      <c r="W1039" s="36">
        <v>290000.0</v>
      </c>
    </row>
    <row r="1040">
      <c r="A1040" s="11">
        <v>45965.0</v>
      </c>
      <c r="B1040" s="17">
        <v>10.0</v>
      </c>
      <c r="C1040" s="17">
        <v>17.0</v>
      </c>
      <c r="D1040" s="17" t="s">
        <v>64</v>
      </c>
      <c r="E1040" s="17">
        <v>18.0</v>
      </c>
      <c r="F1040" s="18">
        <v>130.0</v>
      </c>
      <c r="G1040" s="25"/>
      <c r="H1040" s="25"/>
      <c r="I1040" s="25"/>
      <c r="J1040" s="17">
        <v>3.0</v>
      </c>
      <c r="K1040" s="25"/>
      <c r="L1040" s="17">
        <v>29.0</v>
      </c>
      <c r="M1040" s="17">
        <v>28.0</v>
      </c>
      <c r="N1040" s="27"/>
      <c r="O1040" s="27"/>
      <c r="P1040" s="27"/>
      <c r="Q1040" s="27"/>
      <c r="R1040" s="27"/>
      <c r="S1040" s="28"/>
      <c r="T1040" s="29"/>
      <c r="U1040" s="29"/>
      <c r="V1040" s="36">
        <v>490000.0</v>
      </c>
      <c r="W1040" s="36">
        <v>330000.0</v>
      </c>
    </row>
    <row r="1041">
      <c r="A1041" s="11">
        <v>45966.0</v>
      </c>
      <c r="B1041" s="17">
        <v>8.0</v>
      </c>
      <c r="C1041" s="17">
        <v>16.0</v>
      </c>
      <c r="D1041" s="17" t="s">
        <v>64</v>
      </c>
      <c r="E1041" s="17">
        <v>17.0</v>
      </c>
      <c r="F1041" s="18">
        <v>140.0</v>
      </c>
      <c r="G1041" s="17" t="s">
        <v>118</v>
      </c>
      <c r="H1041" s="25"/>
      <c r="I1041" s="25"/>
      <c r="J1041" s="17">
        <v>5.0</v>
      </c>
      <c r="K1041" s="25"/>
      <c r="L1041" s="17">
        <v>29.0</v>
      </c>
      <c r="M1041" s="17">
        <v>28.0</v>
      </c>
      <c r="N1041" s="27"/>
      <c r="O1041" s="27"/>
      <c r="P1041" s="27"/>
      <c r="Q1041" s="27"/>
      <c r="R1041" s="27"/>
      <c r="S1041" s="28"/>
      <c r="T1041" s="29"/>
      <c r="U1041" s="29"/>
      <c r="V1041" s="36">
        <v>520000.0</v>
      </c>
      <c r="W1041" s="36">
        <v>300000.0</v>
      </c>
    </row>
    <row r="1042">
      <c r="A1042" s="11">
        <v>45967.0</v>
      </c>
      <c r="B1042" s="17">
        <v>6.0</v>
      </c>
      <c r="C1042" s="17">
        <v>14.0</v>
      </c>
      <c r="D1042" s="17" t="s">
        <v>116</v>
      </c>
      <c r="E1042" s="17">
        <v>16.0</v>
      </c>
      <c r="F1042" s="18">
        <v>140.0</v>
      </c>
      <c r="G1042" s="25"/>
      <c r="H1042" s="25"/>
      <c r="I1042" s="25"/>
      <c r="J1042" s="17">
        <v>4.0</v>
      </c>
      <c r="K1042" s="25"/>
      <c r="L1042" s="17">
        <v>29.0</v>
      </c>
      <c r="M1042" s="17">
        <v>29.0</v>
      </c>
      <c r="N1042" s="30">
        <v>17.0</v>
      </c>
      <c r="O1042" s="27"/>
      <c r="P1042" s="27"/>
      <c r="Q1042" s="27"/>
      <c r="R1042" s="27"/>
      <c r="S1042" s="28"/>
      <c r="T1042" s="29"/>
      <c r="U1042" s="29"/>
      <c r="V1042" s="24"/>
      <c r="W1042" s="24"/>
    </row>
    <row r="1043">
      <c r="A1043" s="11">
        <v>45968.0</v>
      </c>
      <c r="B1043" s="17">
        <v>6.0</v>
      </c>
      <c r="C1043" s="17">
        <v>15.0</v>
      </c>
      <c r="D1043" s="17" t="s">
        <v>64</v>
      </c>
      <c r="E1043" s="17">
        <v>15.0</v>
      </c>
      <c r="F1043" s="18">
        <v>150.0</v>
      </c>
      <c r="G1043" s="25"/>
      <c r="H1043" s="17">
        <v>6.7</v>
      </c>
      <c r="I1043" s="25"/>
      <c r="J1043" s="17">
        <v>5.6</v>
      </c>
      <c r="K1043" s="25"/>
      <c r="L1043" s="17">
        <v>29.0</v>
      </c>
      <c r="M1043" s="17">
        <v>27.0</v>
      </c>
      <c r="N1043" s="30">
        <v>16.0</v>
      </c>
      <c r="O1043" s="27"/>
      <c r="P1043" s="27"/>
      <c r="Q1043" s="27"/>
      <c r="R1043" s="27"/>
      <c r="S1043" s="28"/>
      <c r="T1043" s="29"/>
      <c r="U1043" s="29"/>
      <c r="V1043" s="24"/>
      <c r="W1043" s="24"/>
    </row>
    <row r="1044">
      <c r="A1044" s="11">
        <v>45969.0</v>
      </c>
      <c r="B1044" s="25"/>
      <c r="C1044" s="25"/>
      <c r="D1044" s="25"/>
      <c r="E1044" s="25"/>
      <c r="F1044" s="26"/>
      <c r="G1044" s="25"/>
      <c r="H1044" s="25"/>
      <c r="I1044" s="25"/>
      <c r="J1044" s="25"/>
      <c r="K1044" s="25"/>
      <c r="L1044" s="25"/>
      <c r="M1044" s="25"/>
      <c r="N1044" s="27"/>
      <c r="O1044" s="27"/>
      <c r="P1044" s="27"/>
      <c r="Q1044" s="27"/>
      <c r="R1044" s="27"/>
      <c r="S1044" s="28"/>
      <c r="T1044" s="29"/>
      <c r="U1044" s="29"/>
      <c r="V1044" s="24"/>
      <c r="W1044" s="24"/>
    </row>
    <row r="1045">
      <c r="A1045" s="11">
        <v>45970.0</v>
      </c>
      <c r="B1045" s="25"/>
      <c r="C1045" s="25"/>
      <c r="D1045" s="25"/>
      <c r="E1045" s="25"/>
      <c r="F1045" s="26"/>
      <c r="G1045" s="25"/>
      <c r="H1045" s="25"/>
      <c r="I1045" s="25"/>
      <c r="J1045" s="25"/>
      <c r="K1045" s="25"/>
      <c r="L1045" s="25"/>
      <c r="M1045" s="25"/>
      <c r="N1045" s="27"/>
      <c r="O1045" s="27"/>
      <c r="P1045" s="27"/>
      <c r="Q1045" s="27"/>
      <c r="R1045" s="27"/>
      <c r="S1045" s="28"/>
      <c r="T1045" s="29"/>
      <c r="U1045" s="29"/>
      <c r="V1045" s="24"/>
      <c r="W1045" s="24"/>
    </row>
    <row r="1046">
      <c r="A1046" s="11">
        <v>45971.0</v>
      </c>
      <c r="B1046" s="25"/>
      <c r="C1046" s="25"/>
      <c r="D1046" s="17" t="s">
        <v>64</v>
      </c>
      <c r="E1046" s="25"/>
      <c r="F1046" s="26"/>
      <c r="G1046" s="25"/>
      <c r="H1046" s="25"/>
      <c r="I1046" s="25"/>
      <c r="J1046" s="25"/>
      <c r="K1046" s="25"/>
      <c r="L1046" s="25"/>
      <c r="M1046" s="25"/>
      <c r="N1046" s="27"/>
      <c r="O1046" s="27"/>
      <c r="P1046" s="27"/>
      <c r="Q1046" s="27"/>
      <c r="R1046" s="27"/>
      <c r="S1046" s="28"/>
      <c r="T1046" s="29"/>
      <c r="U1046" s="29"/>
      <c r="V1046" s="24"/>
      <c r="W1046" s="24"/>
    </row>
    <row r="1047">
      <c r="A1047" s="11">
        <v>45972.0</v>
      </c>
      <c r="B1047" s="25"/>
      <c r="C1047" s="25"/>
      <c r="D1047" s="17" t="s">
        <v>64</v>
      </c>
      <c r="E1047" s="17">
        <v>12.0</v>
      </c>
      <c r="F1047" s="18">
        <v>160.0</v>
      </c>
      <c r="G1047" s="25"/>
      <c r="H1047" s="25"/>
      <c r="I1047" s="25"/>
      <c r="J1047" s="25"/>
      <c r="K1047" s="25"/>
      <c r="L1047" s="17">
        <v>27.0</v>
      </c>
      <c r="M1047" s="17">
        <v>29.0</v>
      </c>
      <c r="N1047" s="27"/>
      <c r="O1047" s="27"/>
      <c r="P1047" s="27"/>
      <c r="Q1047" s="27"/>
      <c r="R1047" s="27"/>
      <c r="S1047" s="28"/>
      <c r="T1047" s="29"/>
      <c r="U1047" s="29"/>
      <c r="V1047" s="36">
        <v>110000.0</v>
      </c>
      <c r="W1047" s="36">
        <v>100000.0</v>
      </c>
    </row>
    <row r="1048">
      <c r="A1048" s="11">
        <v>45973.0</v>
      </c>
      <c r="B1048" s="25"/>
      <c r="C1048" s="25"/>
      <c r="D1048" s="17" t="s">
        <v>64</v>
      </c>
      <c r="E1048" s="25"/>
      <c r="F1048" s="26"/>
      <c r="G1048" s="25"/>
      <c r="H1048" s="25"/>
      <c r="I1048" s="25"/>
      <c r="J1048" s="25"/>
      <c r="K1048" s="25"/>
      <c r="L1048" s="25"/>
      <c r="M1048" s="25"/>
      <c r="N1048" s="27"/>
      <c r="O1048" s="27"/>
      <c r="P1048" s="27"/>
      <c r="Q1048" s="27"/>
      <c r="R1048" s="27"/>
      <c r="S1048" s="28"/>
      <c r="T1048" s="29"/>
      <c r="U1048" s="29"/>
      <c r="V1048" s="24"/>
      <c r="W1048" s="24"/>
    </row>
    <row r="1049">
      <c r="A1049" s="11">
        <v>45974.0</v>
      </c>
      <c r="B1049" s="25"/>
      <c r="C1049" s="25"/>
      <c r="D1049" s="17" t="s">
        <v>64</v>
      </c>
      <c r="E1049" s="17">
        <v>13.0</v>
      </c>
      <c r="F1049" s="18">
        <v>160.0</v>
      </c>
      <c r="G1049" s="25"/>
      <c r="H1049" s="25"/>
      <c r="I1049" s="25"/>
      <c r="J1049" s="25"/>
      <c r="K1049" s="25"/>
      <c r="L1049" s="17">
        <v>30.0</v>
      </c>
      <c r="M1049" s="17">
        <v>30.0</v>
      </c>
      <c r="N1049" s="27"/>
      <c r="O1049" s="27"/>
      <c r="P1049" s="27"/>
      <c r="Q1049" s="27"/>
      <c r="R1049" s="27"/>
      <c r="S1049" s="28"/>
      <c r="T1049" s="29"/>
      <c r="U1049" s="29"/>
      <c r="V1049" s="36">
        <v>100000.0</v>
      </c>
      <c r="W1049" s="36">
        <v>100000.0</v>
      </c>
    </row>
    <row r="1050">
      <c r="A1050" s="11">
        <v>45975.0</v>
      </c>
      <c r="B1050" s="25"/>
      <c r="C1050" s="25"/>
      <c r="D1050" s="17" t="s">
        <v>64</v>
      </c>
      <c r="E1050" s="25"/>
      <c r="F1050" s="26"/>
      <c r="G1050" s="25"/>
      <c r="H1050" s="25"/>
      <c r="I1050" s="25"/>
      <c r="K1050" s="25"/>
      <c r="L1050" s="25"/>
      <c r="M1050" s="25"/>
      <c r="N1050" s="27"/>
      <c r="O1050" s="27"/>
      <c r="P1050" s="27"/>
      <c r="Q1050" s="27"/>
      <c r="R1050" s="27"/>
      <c r="S1050" s="28"/>
      <c r="T1050" s="29"/>
      <c r="U1050" s="29"/>
      <c r="V1050" s="24"/>
      <c r="W1050" s="24"/>
    </row>
    <row r="1051">
      <c r="A1051" s="11">
        <v>45976.0</v>
      </c>
      <c r="B1051" s="25"/>
      <c r="C1051" s="25"/>
      <c r="D1051" s="25"/>
      <c r="E1051" s="25"/>
      <c r="F1051" s="26"/>
      <c r="G1051" s="25"/>
      <c r="H1051" s="25"/>
      <c r="I1051" s="25"/>
      <c r="J1051" s="25"/>
      <c r="K1051" s="25"/>
      <c r="L1051" s="25"/>
      <c r="M1051" s="25"/>
      <c r="N1051" s="30">
        <v>15.0</v>
      </c>
      <c r="O1051" s="27"/>
      <c r="P1051" s="27"/>
      <c r="Q1051" s="27"/>
      <c r="R1051" s="27"/>
      <c r="S1051" s="28"/>
      <c r="T1051" s="29"/>
      <c r="U1051" s="29"/>
      <c r="V1051" s="24"/>
      <c r="W1051" s="24"/>
    </row>
    <row r="1052">
      <c r="A1052" s="11">
        <v>45977.0</v>
      </c>
      <c r="B1052" s="25"/>
      <c r="C1052" s="25"/>
      <c r="D1052" s="25"/>
      <c r="E1052" s="25"/>
      <c r="F1052" s="26"/>
      <c r="G1052" s="25"/>
      <c r="H1052" s="25"/>
      <c r="I1052" s="25"/>
      <c r="J1052" s="25"/>
      <c r="K1052" s="25"/>
      <c r="L1052" s="25"/>
      <c r="M1052" s="25"/>
      <c r="N1052" s="27"/>
      <c r="O1052" s="27"/>
      <c r="P1052" s="27"/>
      <c r="Q1052" s="27"/>
      <c r="R1052" s="27"/>
      <c r="S1052" s="28"/>
      <c r="T1052" s="29"/>
      <c r="U1052" s="29"/>
      <c r="V1052" s="24"/>
      <c r="W1052" s="24"/>
    </row>
    <row r="1053">
      <c r="A1053" s="11">
        <v>45978.0</v>
      </c>
      <c r="B1053" s="17">
        <v>12.0</v>
      </c>
      <c r="C1053" s="17">
        <v>16.0</v>
      </c>
      <c r="D1053" s="17" t="s">
        <v>62</v>
      </c>
      <c r="E1053" s="17">
        <v>15.0</v>
      </c>
      <c r="F1053" s="18">
        <v>125.0</v>
      </c>
      <c r="G1053" s="25"/>
      <c r="H1053" s="25"/>
      <c r="I1053" s="25"/>
      <c r="J1053" s="17">
        <v>2.2</v>
      </c>
      <c r="K1053" s="25"/>
      <c r="L1053" s="17">
        <v>24.0</v>
      </c>
      <c r="M1053" s="17">
        <v>23.0</v>
      </c>
      <c r="N1053" s="27"/>
      <c r="O1053" s="27"/>
      <c r="P1053" s="27"/>
      <c r="Q1053" s="27"/>
      <c r="R1053" s="27"/>
      <c r="S1053" s="28"/>
      <c r="T1053" s="29"/>
      <c r="U1053" s="29"/>
      <c r="V1053" s="24"/>
      <c r="W1053" s="24"/>
    </row>
    <row r="1054">
      <c r="A1054" s="11">
        <v>45979.0</v>
      </c>
      <c r="B1054" s="17">
        <v>7.0</v>
      </c>
      <c r="C1054" s="17">
        <v>12.0</v>
      </c>
      <c r="D1054" s="17" t="s">
        <v>62</v>
      </c>
      <c r="E1054" s="17">
        <v>15.0</v>
      </c>
      <c r="F1054" s="18">
        <v>120.0</v>
      </c>
      <c r="G1054" s="17" t="s">
        <v>119</v>
      </c>
      <c r="H1054" s="25"/>
      <c r="I1054" s="25"/>
      <c r="J1054" s="25"/>
      <c r="K1054" s="25"/>
      <c r="L1054" s="17">
        <v>24.0</v>
      </c>
      <c r="M1054" s="17">
        <v>23.0</v>
      </c>
      <c r="N1054" s="27"/>
      <c r="O1054" s="27"/>
      <c r="P1054" s="27"/>
      <c r="Q1054" s="27"/>
      <c r="R1054" s="27"/>
      <c r="S1054" s="28"/>
      <c r="T1054" s="29"/>
      <c r="U1054" s="29"/>
      <c r="V1054" s="24"/>
      <c r="W1054" s="24"/>
    </row>
    <row r="1055">
      <c r="A1055" s="11">
        <v>45980.0</v>
      </c>
      <c r="B1055" s="17">
        <v>6.0</v>
      </c>
      <c r="C1055" s="17">
        <v>11.0</v>
      </c>
      <c r="D1055" s="17" t="s">
        <v>64</v>
      </c>
      <c r="E1055" s="17">
        <v>14.0</v>
      </c>
      <c r="F1055" s="18">
        <v>115.0</v>
      </c>
      <c r="G1055" s="25"/>
      <c r="H1055" s="25"/>
      <c r="I1055" s="25"/>
      <c r="J1055" s="25"/>
      <c r="K1055" s="25"/>
      <c r="L1055" s="17">
        <v>24.0</v>
      </c>
      <c r="M1055" s="17">
        <v>24.0</v>
      </c>
      <c r="N1055" s="27"/>
      <c r="O1055" s="27"/>
      <c r="P1055" s="27"/>
      <c r="Q1055" s="27"/>
      <c r="R1055" s="27"/>
      <c r="S1055" s="28"/>
      <c r="T1055" s="29"/>
      <c r="U1055" s="29"/>
      <c r="V1055" s="24"/>
      <c r="W1055" s="24"/>
    </row>
    <row r="1056">
      <c r="A1056" s="11">
        <v>45981.0</v>
      </c>
      <c r="B1056" s="17">
        <v>6.0</v>
      </c>
      <c r="C1056" s="17">
        <v>12.0</v>
      </c>
      <c r="D1056" s="17" t="s">
        <v>64</v>
      </c>
      <c r="E1056" s="17">
        <v>14.0</v>
      </c>
      <c r="F1056" s="18">
        <v>140.0</v>
      </c>
      <c r="G1056" s="25"/>
      <c r="H1056" s="25"/>
      <c r="I1056" s="25"/>
      <c r="J1056" s="17"/>
      <c r="K1056" s="25"/>
      <c r="L1056" s="17">
        <v>31.0</v>
      </c>
      <c r="M1056" s="17">
        <v>27.0</v>
      </c>
      <c r="N1056" s="30">
        <v>3.0</v>
      </c>
      <c r="O1056" s="27"/>
      <c r="P1056" s="27"/>
      <c r="Q1056" s="27"/>
      <c r="R1056" s="27"/>
      <c r="S1056" s="28"/>
      <c r="T1056" s="29"/>
      <c r="U1056" s="29"/>
      <c r="V1056" s="24"/>
      <c r="W1056" s="24"/>
    </row>
    <row r="1057">
      <c r="A1057" s="11">
        <v>45982.0</v>
      </c>
      <c r="B1057" s="17">
        <v>6.0</v>
      </c>
      <c r="C1057" s="17">
        <v>9.0</v>
      </c>
      <c r="D1057" s="17" t="s">
        <v>79</v>
      </c>
      <c r="E1057" s="17">
        <v>14.0</v>
      </c>
      <c r="F1057" s="18">
        <v>140.0</v>
      </c>
      <c r="G1057" s="25"/>
      <c r="H1057" s="25"/>
      <c r="I1057" s="25"/>
      <c r="J1057" s="25"/>
      <c r="K1057" s="25"/>
      <c r="L1057" s="17">
        <v>28.0</v>
      </c>
      <c r="M1057" s="17">
        <v>26.0</v>
      </c>
      <c r="N1057" s="27"/>
      <c r="O1057" s="27"/>
      <c r="P1057" s="27"/>
      <c r="Q1057" s="27"/>
      <c r="R1057" s="27"/>
      <c r="S1057" s="28"/>
      <c r="T1057" s="29"/>
      <c r="U1057" s="29"/>
      <c r="V1057" s="24"/>
      <c r="W1057" s="24"/>
    </row>
    <row r="1058">
      <c r="A1058" s="11">
        <v>45983.0</v>
      </c>
      <c r="B1058" s="25"/>
      <c r="C1058" s="25"/>
      <c r="D1058" s="25"/>
      <c r="E1058" s="25"/>
      <c r="F1058" s="26"/>
      <c r="G1058" s="25"/>
      <c r="H1058" s="25"/>
      <c r="I1058" s="25"/>
      <c r="J1058" s="25"/>
      <c r="K1058" s="25"/>
      <c r="L1058" s="25"/>
      <c r="M1058" s="25"/>
      <c r="N1058" s="30">
        <v>3.0</v>
      </c>
      <c r="O1058" s="27"/>
      <c r="P1058" s="27"/>
      <c r="Q1058" s="27"/>
      <c r="R1058" s="27"/>
      <c r="S1058" s="28"/>
      <c r="T1058" s="29"/>
      <c r="U1058" s="29"/>
      <c r="V1058" s="24"/>
      <c r="W1058" s="24"/>
    </row>
    <row r="1059">
      <c r="A1059" s="11">
        <v>45984.0</v>
      </c>
      <c r="B1059" s="25"/>
      <c r="C1059" s="25"/>
      <c r="D1059" s="25"/>
      <c r="E1059" s="25"/>
      <c r="F1059" s="26"/>
      <c r="G1059" s="25"/>
      <c r="H1059" s="25"/>
      <c r="I1059" s="25"/>
      <c r="J1059" s="25"/>
      <c r="K1059" s="25"/>
      <c r="L1059" s="25"/>
      <c r="M1059" s="25"/>
      <c r="N1059" s="27"/>
      <c r="O1059" s="27"/>
      <c r="P1059" s="27"/>
      <c r="Q1059" s="27"/>
      <c r="R1059" s="27"/>
      <c r="S1059" s="28"/>
      <c r="T1059" s="29"/>
      <c r="U1059" s="29"/>
      <c r="V1059" s="24"/>
      <c r="W1059" s="24"/>
    </row>
    <row r="1060">
      <c r="A1060" s="11">
        <v>45985.0</v>
      </c>
      <c r="B1060" s="17">
        <v>6.0</v>
      </c>
      <c r="C1060" s="17">
        <v>13.0</v>
      </c>
      <c r="D1060" s="17" t="s">
        <v>62</v>
      </c>
      <c r="E1060" s="17">
        <v>10.0</v>
      </c>
      <c r="F1060" s="18">
        <v>160.0</v>
      </c>
      <c r="G1060" s="25"/>
      <c r="H1060" s="25"/>
      <c r="I1060" s="25"/>
      <c r="J1060" s="25"/>
      <c r="K1060" s="25"/>
      <c r="L1060" s="17">
        <v>28.0</v>
      </c>
      <c r="M1060" s="17">
        <v>24.0</v>
      </c>
      <c r="N1060" s="27"/>
      <c r="O1060" s="27"/>
      <c r="P1060" s="27"/>
      <c r="Q1060" s="27"/>
      <c r="R1060" s="27"/>
      <c r="S1060" s="28"/>
      <c r="T1060" s="29"/>
      <c r="U1060" s="29"/>
      <c r="V1060" s="24"/>
      <c r="W1060" s="24"/>
    </row>
    <row r="1061">
      <c r="A1061" s="11">
        <v>45986.0</v>
      </c>
      <c r="B1061" s="17">
        <v>5.0</v>
      </c>
      <c r="C1061" s="17">
        <v>10.0</v>
      </c>
      <c r="D1061" s="17" t="s">
        <v>116</v>
      </c>
      <c r="E1061" s="17">
        <v>10.0</v>
      </c>
      <c r="F1061" s="18">
        <v>130.0</v>
      </c>
      <c r="G1061" s="25"/>
      <c r="H1061" s="25"/>
      <c r="I1061" s="25"/>
      <c r="J1061" s="25"/>
      <c r="K1061" s="25"/>
      <c r="L1061" s="17">
        <v>28.0</v>
      </c>
      <c r="M1061" s="17">
        <v>25.0</v>
      </c>
      <c r="N1061" s="30">
        <v>5.0</v>
      </c>
      <c r="O1061" s="30">
        <v>3.0</v>
      </c>
      <c r="P1061" s="27"/>
      <c r="Q1061" s="27"/>
      <c r="R1061" s="27"/>
      <c r="S1061" s="28"/>
      <c r="T1061" s="29"/>
      <c r="U1061" s="29"/>
      <c r="V1061" s="24"/>
      <c r="W1061" s="24"/>
    </row>
    <row r="1062">
      <c r="A1062" s="11">
        <v>45987.0</v>
      </c>
      <c r="B1062" s="17">
        <v>4.0</v>
      </c>
      <c r="C1062" s="17">
        <v>11.0</v>
      </c>
      <c r="D1062" s="17" t="s">
        <v>62</v>
      </c>
      <c r="E1062" s="17">
        <v>9.0</v>
      </c>
      <c r="F1062" s="18">
        <v>160.0</v>
      </c>
      <c r="G1062" s="25"/>
      <c r="H1062" s="25"/>
      <c r="I1062" s="25"/>
      <c r="J1062" s="25"/>
      <c r="K1062" s="25"/>
      <c r="L1062" s="17">
        <v>30.0</v>
      </c>
      <c r="M1062" s="17">
        <v>30.0</v>
      </c>
      <c r="N1062" s="30">
        <v>3.0</v>
      </c>
      <c r="O1062" s="27"/>
      <c r="P1062" s="27"/>
      <c r="Q1062" s="27"/>
      <c r="R1062" s="27"/>
      <c r="S1062" s="28"/>
      <c r="T1062" s="29"/>
      <c r="U1062" s="29"/>
      <c r="V1062" s="36">
        <v>320000.0</v>
      </c>
      <c r="W1062" s="36">
        <v>560000.0</v>
      </c>
    </row>
    <row r="1063">
      <c r="A1063" s="11">
        <v>45988.0</v>
      </c>
      <c r="B1063" s="17">
        <v>8.0</v>
      </c>
      <c r="C1063" s="17">
        <v>10.0</v>
      </c>
      <c r="D1063" s="17" t="s">
        <v>73</v>
      </c>
      <c r="E1063" s="17">
        <v>9.0</v>
      </c>
      <c r="F1063" s="18">
        <v>160.0</v>
      </c>
      <c r="G1063" s="25"/>
      <c r="H1063" s="25"/>
      <c r="I1063" s="25"/>
      <c r="J1063" s="25"/>
      <c r="K1063" s="25"/>
      <c r="L1063" s="17">
        <v>29.0</v>
      </c>
      <c r="M1063" s="17">
        <v>27.0</v>
      </c>
      <c r="N1063" s="30">
        <v>4.0</v>
      </c>
      <c r="O1063" s="27"/>
      <c r="P1063" s="27"/>
      <c r="Q1063" s="27"/>
      <c r="R1063" s="27"/>
      <c r="S1063" s="28"/>
      <c r="T1063" s="29"/>
      <c r="U1063" s="29"/>
      <c r="V1063" s="24"/>
      <c r="W1063" s="24"/>
    </row>
    <row r="1064">
      <c r="A1064" s="11">
        <v>45989.0</v>
      </c>
      <c r="B1064" s="17">
        <v>3.0</v>
      </c>
      <c r="C1064" s="17">
        <v>10.0</v>
      </c>
      <c r="D1064" s="17" t="s">
        <v>64</v>
      </c>
      <c r="E1064" s="17">
        <v>10.0</v>
      </c>
      <c r="F1064" s="18">
        <v>160.0</v>
      </c>
      <c r="G1064" s="25"/>
      <c r="H1064" s="25"/>
      <c r="I1064" s="25"/>
      <c r="J1064" s="25"/>
      <c r="K1064" s="25"/>
      <c r="L1064" s="17">
        <v>29.0</v>
      </c>
      <c r="M1064" s="17">
        <v>27.0</v>
      </c>
      <c r="N1064" s="27"/>
      <c r="O1064" s="27"/>
      <c r="P1064" s="27"/>
      <c r="Q1064" s="27"/>
      <c r="R1064" s="27"/>
      <c r="S1064" s="28"/>
      <c r="T1064" s="29"/>
      <c r="U1064" s="29"/>
      <c r="V1064" s="24"/>
      <c r="W1064" s="24"/>
    </row>
    <row r="1065">
      <c r="A1065" s="11">
        <v>45990.0</v>
      </c>
      <c r="B1065" s="25"/>
      <c r="C1065" s="25"/>
      <c r="D1065" s="25"/>
      <c r="E1065" s="25"/>
      <c r="F1065" s="26"/>
      <c r="G1065" s="25"/>
      <c r="H1065" s="25"/>
      <c r="I1065" s="25"/>
      <c r="J1065" s="25"/>
      <c r="K1065" s="25"/>
      <c r="L1065" s="25"/>
      <c r="M1065" s="25"/>
      <c r="N1065" s="27"/>
      <c r="O1065" s="27"/>
      <c r="P1065" s="27"/>
      <c r="Q1065" s="27"/>
      <c r="R1065" s="27"/>
      <c r="S1065" s="28"/>
      <c r="T1065" s="29"/>
      <c r="U1065" s="29"/>
      <c r="V1065" s="24"/>
      <c r="W1065" s="24"/>
    </row>
    <row r="1066">
      <c r="A1066" s="11">
        <v>45991.0</v>
      </c>
      <c r="B1066" s="25"/>
      <c r="C1066" s="25"/>
      <c r="D1066" s="25"/>
      <c r="E1066" s="25"/>
      <c r="F1066" s="26"/>
      <c r="G1066" s="25"/>
      <c r="H1066" s="25"/>
      <c r="I1066" s="25"/>
      <c r="J1066" s="25"/>
      <c r="K1066" s="25"/>
      <c r="L1066" s="25"/>
      <c r="M1066" s="25"/>
      <c r="N1066" s="27"/>
      <c r="O1066" s="27"/>
      <c r="P1066" s="27"/>
      <c r="Q1066" s="27"/>
      <c r="R1066" s="27"/>
      <c r="S1066" s="28"/>
      <c r="T1066" s="29"/>
      <c r="U1066" s="29"/>
      <c r="V1066" s="24"/>
      <c r="W1066" s="24"/>
    </row>
    <row r="1067">
      <c r="A1067" s="11">
        <v>45992.0</v>
      </c>
      <c r="B1067" s="17">
        <v>4.0</v>
      </c>
      <c r="C1067" s="17">
        <v>11.0</v>
      </c>
      <c r="D1067" s="17" t="s">
        <v>62</v>
      </c>
      <c r="E1067" s="17">
        <v>8.0</v>
      </c>
      <c r="F1067" s="18">
        <v>160.0</v>
      </c>
      <c r="G1067" s="25"/>
      <c r="H1067" s="25"/>
      <c r="I1067" s="25"/>
      <c r="J1067" s="25"/>
      <c r="K1067" s="25"/>
      <c r="L1067" s="17">
        <v>31.0</v>
      </c>
      <c r="M1067" s="17">
        <v>30.0</v>
      </c>
      <c r="N1067" s="27"/>
      <c r="O1067" s="27"/>
      <c r="P1067" s="27"/>
      <c r="Q1067" s="27"/>
      <c r="R1067" s="27"/>
      <c r="S1067" s="28"/>
      <c r="T1067" s="29"/>
      <c r="U1067" s="29"/>
      <c r="V1067" s="24"/>
      <c r="W1067" s="24"/>
    </row>
    <row r="1068">
      <c r="A1068" s="11">
        <v>45993.0</v>
      </c>
      <c r="B1068" s="17">
        <v>6.0</v>
      </c>
      <c r="C1068" s="17">
        <v>11.0</v>
      </c>
      <c r="D1068" s="17" t="s">
        <v>116</v>
      </c>
      <c r="E1068" s="17">
        <v>9.0</v>
      </c>
      <c r="F1068" s="18">
        <v>160.0</v>
      </c>
      <c r="G1068" s="25"/>
      <c r="H1068" s="25"/>
      <c r="I1068" s="25"/>
      <c r="J1068" s="25"/>
      <c r="K1068" s="25"/>
      <c r="L1068" s="17">
        <v>30.0</v>
      </c>
      <c r="M1068" s="17">
        <v>28.0</v>
      </c>
      <c r="N1068" s="27"/>
      <c r="O1068" s="27"/>
      <c r="P1068" s="27"/>
      <c r="Q1068" s="27"/>
      <c r="R1068" s="27"/>
      <c r="S1068" s="28"/>
      <c r="T1068" s="29"/>
      <c r="U1068" s="29"/>
      <c r="V1068" s="24"/>
      <c r="W1068" s="24"/>
    </row>
    <row r="1069">
      <c r="A1069" s="11">
        <v>45994.0</v>
      </c>
      <c r="B1069" s="17">
        <v>8.0</v>
      </c>
      <c r="C1069" s="17">
        <v>11.0</v>
      </c>
      <c r="D1069" s="17" t="s">
        <v>120</v>
      </c>
      <c r="E1069" s="17">
        <v>10.0</v>
      </c>
      <c r="F1069" s="18">
        <v>160.0</v>
      </c>
      <c r="G1069" s="25"/>
      <c r="H1069" s="25"/>
      <c r="I1069" s="25"/>
      <c r="J1069" s="25"/>
      <c r="K1069" s="25"/>
      <c r="L1069" s="17">
        <v>29.0</v>
      </c>
      <c r="M1069" s="17">
        <v>29.0</v>
      </c>
      <c r="N1069" s="30">
        <v>3.0</v>
      </c>
      <c r="O1069" s="27"/>
      <c r="P1069" s="27"/>
      <c r="Q1069" s="27"/>
      <c r="R1069" s="27"/>
      <c r="S1069" s="28"/>
      <c r="T1069" s="29"/>
      <c r="U1069" s="29"/>
      <c r="V1069" s="24"/>
      <c r="W1069" s="24"/>
    </row>
    <row r="1070">
      <c r="A1070" s="11">
        <v>45995.0</v>
      </c>
      <c r="B1070" s="17">
        <v>7.0</v>
      </c>
      <c r="C1070" s="17">
        <v>12.0</v>
      </c>
      <c r="D1070" s="17" t="s">
        <v>120</v>
      </c>
      <c r="E1070" s="17">
        <v>11.0</v>
      </c>
      <c r="F1070" s="18">
        <v>160.0</v>
      </c>
      <c r="G1070" s="25"/>
      <c r="H1070" s="25"/>
      <c r="I1070" s="25"/>
      <c r="J1070" s="25"/>
      <c r="K1070" s="25"/>
      <c r="L1070" s="17">
        <v>32.0</v>
      </c>
      <c r="M1070" s="17">
        <v>33.0</v>
      </c>
      <c r="N1070" s="27"/>
      <c r="O1070" s="27"/>
      <c r="P1070" s="27"/>
      <c r="Q1070" s="27"/>
      <c r="R1070" s="27"/>
      <c r="S1070" s="28"/>
      <c r="T1070" s="29"/>
      <c r="U1070" s="29"/>
      <c r="V1070" s="36">
        <v>170000.0</v>
      </c>
      <c r="W1070" s="36">
        <v>170000.0</v>
      </c>
    </row>
    <row r="1071">
      <c r="A1071" s="11">
        <v>45996.0</v>
      </c>
      <c r="B1071" s="17">
        <v>6.0</v>
      </c>
      <c r="C1071" s="17">
        <v>11.0</v>
      </c>
      <c r="D1071" s="17" t="s">
        <v>116</v>
      </c>
      <c r="E1071" s="17">
        <v>11.0</v>
      </c>
      <c r="F1071" s="18">
        <v>160.0</v>
      </c>
      <c r="G1071" s="25"/>
      <c r="H1071" s="25"/>
      <c r="I1071" s="25"/>
      <c r="J1071" s="25"/>
      <c r="K1071" s="25"/>
      <c r="L1071" s="17">
        <v>32.0</v>
      </c>
      <c r="M1071" s="17">
        <v>31.0</v>
      </c>
      <c r="N1071" s="27"/>
      <c r="O1071" s="30">
        <v>1.0</v>
      </c>
      <c r="P1071" s="27"/>
      <c r="Q1071" s="27"/>
      <c r="R1071" s="27"/>
      <c r="S1071" s="28"/>
      <c r="T1071" s="29"/>
      <c r="U1071" s="29"/>
      <c r="V1071" s="24"/>
      <c r="W1071" s="24"/>
    </row>
    <row r="1072">
      <c r="A1072" s="11">
        <v>45997.0</v>
      </c>
      <c r="B1072" s="25"/>
      <c r="C1072" s="25"/>
      <c r="D1072" s="25"/>
      <c r="E1072" s="25"/>
      <c r="F1072" s="26"/>
      <c r="G1072" s="25"/>
      <c r="H1072" s="25"/>
      <c r="I1072" s="25"/>
      <c r="J1072" s="25"/>
      <c r="K1072" s="25"/>
      <c r="L1072" s="25"/>
      <c r="M1072" s="25"/>
      <c r="N1072" s="27"/>
      <c r="O1072" s="27"/>
      <c r="P1072" s="27"/>
      <c r="Q1072" s="27"/>
      <c r="R1072" s="27"/>
      <c r="S1072" s="28"/>
      <c r="T1072" s="29"/>
      <c r="U1072" s="29"/>
      <c r="V1072" s="24"/>
      <c r="W1072" s="24"/>
    </row>
    <row r="1073">
      <c r="A1073" s="11">
        <v>45998.0</v>
      </c>
      <c r="B1073" s="25"/>
      <c r="C1073" s="25"/>
      <c r="D1073" s="25"/>
      <c r="E1073" s="25"/>
      <c r="F1073" s="26"/>
      <c r="G1073" s="25"/>
      <c r="H1073" s="25"/>
      <c r="I1073" s="25"/>
      <c r="J1073" s="25"/>
      <c r="K1073" s="25"/>
      <c r="L1073" s="25"/>
      <c r="M1073" s="25"/>
      <c r="N1073" s="27"/>
      <c r="O1073" s="27"/>
      <c r="P1073" s="27"/>
      <c r="Q1073" s="27"/>
      <c r="R1073" s="27"/>
      <c r="S1073" s="28"/>
      <c r="T1073" s="29"/>
      <c r="U1073" s="29"/>
      <c r="V1073" s="24"/>
      <c r="W1073" s="24"/>
    </row>
    <row r="1074">
      <c r="A1074" s="11">
        <v>45999.0</v>
      </c>
      <c r="B1074" s="25"/>
      <c r="C1074" s="25"/>
      <c r="D1074" s="25"/>
      <c r="E1074" s="25"/>
      <c r="F1074" s="26"/>
      <c r="G1074" s="25"/>
      <c r="H1074" s="25"/>
      <c r="I1074" s="25"/>
      <c r="J1074" s="25"/>
      <c r="K1074" s="25"/>
      <c r="L1074" s="25"/>
      <c r="M1074" s="25"/>
      <c r="N1074" s="27"/>
      <c r="O1074" s="27"/>
      <c r="P1074" s="27"/>
      <c r="Q1074" s="27"/>
      <c r="R1074" s="27"/>
      <c r="S1074" s="28"/>
      <c r="T1074" s="29"/>
      <c r="U1074" s="29"/>
      <c r="V1074" s="24"/>
      <c r="W1074" s="24"/>
    </row>
    <row r="1075">
      <c r="A1075" s="11">
        <v>46000.0</v>
      </c>
      <c r="B1075" s="17">
        <v>3.0</v>
      </c>
      <c r="C1075" s="17">
        <v>11.0</v>
      </c>
      <c r="D1075" s="17" t="s">
        <v>116</v>
      </c>
      <c r="E1075" s="17">
        <v>10.0</v>
      </c>
      <c r="F1075" s="18">
        <v>160.0</v>
      </c>
      <c r="G1075" s="17" t="s">
        <v>121</v>
      </c>
      <c r="H1075" s="25"/>
      <c r="I1075" s="25"/>
      <c r="J1075" s="25"/>
      <c r="K1075" s="25"/>
      <c r="L1075" s="17">
        <v>32.0</v>
      </c>
      <c r="M1075" s="17">
        <v>31.0</v>
      </c>
      <c r="N1075" s="27"/>
      <c r="O1075" s="27"/>
      <c r="P1075" s="27"/>
      <c r="Q1075" s="27"/>
      <c r="R1075" s="27"/>
      <c r="S1075" s="28"/>
      <c r="T1075" s="29"/>
      <c r="U1075" s="29"/>
      <c r="V1075" s="24"/>
      <c r="W1075" s="24"/>
    </row>
    <row r="1076">
      <c r="A1076" s="11">
        <v>46001.0</v>
      </c>
      <c r="B1076" s="17">
        <v>3.0</v>
      </c>
      <c r="C1076" s="17">
        <v>10.0</v>
      </c>
      <c r="D1076" s="17" t="s">
        <v>120</v>
      </c>
      <c r="E1076" s="17">
        <v>10.0</v>
      </c>
      <c r="F1076" s="18">
        <v>160.0</v>
      </c>
      <c r="G1076" s="17" t="s">
        <v>122</v>
      </c>
      <c r="H1076" s="25"/>
      <c r="I1076" s="25"/>
      <c r="J1076" s="25"/>
      <c r="K1076" s="25"/>
      <c r="L1076" s="17">
        <v>31.0</v>
      </c>
      <c r="M1076" s="17">
        <v>32.0</v>
      </c>
      <c r="N1076" s="27"/>
      <c r="O1076" s="27"/>
      <c r="P1076" s="27"/>
      <c r="Q1076" s="27"/>
      <c r="R1076" s="27"/>
      <c r="S1076" s="28"/>
      <c r="T1076" s="29"/>
      <c r="U1076" s="29"/>
      <c r="V1076" s="24"/>
      <c r="W1076" s="24"/>
    </row>
    <row r="1077">
      <c r="A1077" s="11">
        <v>46002.0</v>
      </c>
      <c r="B1077" s="17">
        <v>5.0</v>
      </c>
      <c r="C1077" s="17">
        <v>9.0</v>
      </c>
      <c r="D1077" s="17" t="s">
        <v>116</v>
      </c>
      <c r="E1077" s="17">
        <v>9.0</v>
      </c>
      <c r="F1077" s="18">
        <v>160.0</v>
      </c>
      <c r="G1077" s="25"/>
      <c r="H1077" s="25"/>
      <c r="I1077" s="25"/>
      <c r="J1077" s="25"/>
      <c r="K1077" s="25"/>
      <c r="L1077" s="17">
        <v>32.0</v>
      </c>
      <c r="M1077" s="17">
        <v>33.0</v>
      </c>
      <c r="N1077" s="27"/>
      <c r="O1077" s="27"/>
      <c r="P1077" s="27"/>
      <c r="Q1077" s="27"/>
      <c r="R1077" s="27"/>
      <c r="S1077" s="28"/>
      <c r="T1077" s="29"/>
      <c r="U1077" s="29"/>
      <c r="V1077" s="36">
        <v>120000.0</v>
      </c>
      <c r="W1077" s="36">
        <v>40000.0</v>
      </c>
    </row>
    <row r="1078">
      <c r="A1078" s="11">
        <v>46003.0</v>
      </c>
      <c r="B1078" s="17">
        <v>5.0</v>
      </c>
      <c r="C1078" s="17">
        <v>9.0</v>
      </c>
      <c r="D1078" s="17" t="s">
        <v>116</v>
      </c>
      <c r="E1078" s="17">
        <v>9.0</v>
      </c>
      <c r="F1078" s="18">
        <v>160.0</v>
      </c>
      <c r="G1078" s="25"/>
      <c r="H1078" s="25"/>
      <c r="I1078" s="25"/>
      <c r="J1078" s="25"/>
      <c r="K1078" s="25"/>
      <c r="L1078" s="17">
        <v>31.0</v>
      </c>
      <c r="M1078" s="17">
        <v>31.0</v>
      </c>
      <c r="N1078" s="27"/>
      <c r="O1078" s="27"/>
      <c r="P1078" s="27"/>
      <c r="Q1078" s="27"/>
      <c r="R1078" s="27"/>
      <c r="S1078" s="28"/>
      <c r="T1078" s="29"/>
      <c r="U1078" s="29"/>
      <c r="V1078" s="24"/>
      <c r="W1078" s="24"/>
    </row>
    <row r="1079">
      <c r="A1079" s="11">
        <v>46004.0</v>
      </c>
      <c r="B1079" s="25"/>
      <c r="C1079" s="25"/>
      <c r="D1079" s="25"/>
      <c r="E1079" s="25"/>
      <c r="F1079" s="26"/>
      <c r="G1079" s="25"/>
      <c r="H1079" s="25"/>
      <c r="I1079" s="25"/>
      <c r="J1079" s="17">
        <v>9.5</v>
      </c>
      <c r="K1079" s="25"/>
      <c r="L1079" s="25"/>
      <c r="M1079" s="25"/>
      <c r="N1079" s="27"/>
      <c r="O1079" s="27"/>
      <c r="P1079" s="27"/>
      <c r="Q1079" s="27"/>
      <c r="R1079" s="27"/>
      <c r="S1079" s="28"/>
      <c r="T1079" s="29"/>
      <c r="U1079" s="29"/>
      <c r="V1079" s="24"/>
      <c r="W1079" s="24"/>
    </row>
    <row r="1080">
      <c r="A1080" s="11">
        <v>46005.0</v>
      </c>
      <c r="B1080" s="25"/>
      <c r="C1080" s="25"/>
      <c r="D1080" s="25"/>
      <c r="E1080" s="25"/>
      <c r="F1080" s="26"/>
      <c r="G1080" s="25"/>
      <c r="H1080" s="25"/>
      <c r="I1080" s="25"/>
      <c r="J1080" s="25"/>
      <c r="K1080" s="25"/>
      <c r="L1080" s="25"/>
      <c r="M1080" s="25"/>
      <c r="N1080" s="27"/>
      <c r="O1080" s="27"/>
      <c r="P1080" s="27"/>
      <c r="Q1080" s="27"/>
      <c r="R1080" s="27"/>
      <c r="S1080" s="28"/>
      <c r="T1080" s="29"/>
      <c r="U1080" s="29"/>
      <c r="V1080" s="24"/>
      <c r="W1080" s="24"/>
    </row>
    <row r="1081">
      <c r="A1081" s="11">
        <v>46006.0</v>
      </c>
      <c r="B1081" s="17">
        <v>0.0</v>
      </c>
      <c r="C1081" s="17">
        <v>9.0</v>
      </c>
      <c r="D1081" s="17" t="s">
        <v>116</v>
      </c>
      <c r="E1081" s="17">
        <v>8.0</v>
      </c>
      <c r="F1081" s="18">
        <v>160.0</v>
      </c>
      <c r="G1081" s="25"/>
      <c r="H1081" s="25"/>
      <c r="I1081" s="25"/>
      <c r="J1081" s="25"/>
      <c r="K1081" s="25"/>
      <c r="L1081" s="17">
        <v>30.0</v>
      </c>
      <c r="M1081" s="17">
        <v>30.0</v>
      </c>
      <c r="N1081" s="27"/>
      <c r="O1081" s="27"/>
      <c r="P1081" s="27"/>
      <c r="Q1081" s="27"/>
      <c r="R1081" s="27"/>
      <c r="S1081" s="28"/>
      <c r="T1081" s="29"/>
      <c r="U1081" s="29"/>
      <c r="V1081" s="24"/>
      <c r="W1081" s="24"/>
    </row>
    <row r="1082">
      <c r="A1082" s="11">
        <v>46007.0</v>
      </c>
      <c r="B1082" s="17">
        <v>5.0</v>
      </c>
      <c r="C1082" s="17">
        <v>13.0</v>
      </c>
      <c r="D1082" s="17" t="s">
        <v>73</v>
      </c>
      <c r="E1082" s="17">
        <v>8.0</v>
      </c>
      <c r="F1082" s="18">
        <v>160.0</v>
      </c>
      <c r="G1082" s="25"/>
      <c r="H1082" s="25"/>
      <c r="I1082" s="25"/>
      <c r="J1082" s="25"/>
      <c r="K1082" s="25"/>
      <c r="L1082" s="17">
        <v>30.0</v>
      </c>
      <c r="M1082" s="17">
        <v>29.0</v>
      </c>
      <c r="N1082" s="30">
        <v>1.0</v>
      </c>
      <c r="O1082" s="27"/>
      <c r="P1082" s="27"/>
      <c r="Q1082" s="27"/>
      <c r="R1082" s="27"/>
      <c r="S1082" s="28"/>
      <c r="T1082" s="29"/>
      <c r="U1082" s="29"/>
      <c r="V1082" s="24"/>
      <c r="W1082" s="24"/>
    </row>
    <row r="1083">
      <c r="A1083" s="11">
        <v>46008.0</v>
      </c>
      <c r="B1083" s="17">
        <v>8.0</v>
      </c>
      <c r="C1083" s="17">
        <v>11.0</v>
      </c>
      <c r="D1083" s="17" t="s">
        <v>116</v>
      </c>
      <c r="E1083" s="17">
        <v>9.0</v>
      </c>
      <c r="F1083" s="18">
        <v>160.0</v>
      </c>
      <c r="G1083" s="25"/>
      <c r="H1083" s="25"/>
      <c r="I1083" s="25"/>
      <c r="J1083" s="17">
        <v>10.5</v>
      </c>
      <c r="K1083" s="25"/>
      <c r="L1083" s="17">
        <v>29.0</v>
      </c>
      <c r="M1083" s="17">
        <v>27.0</v>
      </c>
      <c r="N1083" s="27"/>
      <c r="O1083" s="27"/>
      <c r="P1083" s="27"/>
      <c r="Q1083" s="27"/>
      <c r="R1083" s="27"/>
      <c r="S1083" s="28"/>
      <c r="T1083" s="29"/>
      <c r="U1083" s="29"/>
      <c r="V1083" s="24"/>
      <c r="W1083" s="24"/>
    </row>
    <row r="1084">
      <c r="A1084" s="11">
        <v>46009.0</v>
      </c>
      <c r="B1084" s="17">
        <v>8.0</v>
      </c>
      <c r="C1084" s="17">
        <v>10.0</v>
      </c>
      <c r="D1084" s="17" t="s">
        <v>116</v>
      </c>
      <c r="E1084" s="17">
        <v>9.0</v>
      </c>
      <c r="F1084" s="18">
        <v>160.0</v>
      </c>
      <c r="G1084" s="25"/>
      <c r="H1084" s="25"/>
      <c r="I1084" s="25"/>
      <c r="J1084" s="25"/>
      <c r="K1084" s="25"/>
      <c r="L1084" s="17">
        <v>29.0</v>
      </c>
      <c r="M1084" s="17">
        <v>27.0</v>
      </c>
      <c r="N1084" s="27"/>
      <c r="O1084" s="27"/>
      <c r="P1084" s="27"/>
      <c r="Q1084" s="27"/>
      <c r="R1084" s="27"/>
      <c r="S1084" s="28"/>
      <c r="T1084" s="29"/>
      <c r="U1084" s="29"/>
      <c r="V1084" s="24"/>
      <c r="W1084" s="24"/>
    </row>
    <row r="1085">
      <c r="A1085" s="11">
        <v>46010.0</v>
      </c>
      <c r="B1085" s="17">
        <v>9.0</v>
      </c>
      <c r="C1085" s="17">
        <v>11.0</v>
      </c>
      <c r="D1085" s="17" t="s">
        <v>73</v>
      </c>
      <c r="E1085" s="17">
        <v>9.0</v>
      </c>
      <c r="F1085" s="18">
        <v>160.0</v>
      </c>
      <c r="G1085" s="25"/>
      <c r="H1085" s="25"/>
      <c r="I1085" s="25"/>
      <c r="J1085" s="17">
        <v>10.4</v>
      </c>
      <c r="K1085" s="25"/>
      <c r="L1085" s="17">
        <v>29.0</v>
      </c>
      <c r="M1085" s="17">
        <v>28.0</v>
      </c>
      <c r="N1085" s="27"/>
      <c r="O1085" s="27"/>
      <c r="P1085" s="27"/>
      <c r="Q1085" s="27"/>
      <c r="R1085" s="27"/>
      <c r="S1085" s="28"/>
      <c r="T1085" s="29"/>
      <c r="U1085" s="29"/>
      <c r="V1085" s="24"/>
      <c r="W1085" s="24"/>
    </row>
    <row r="1086">
      <c r="A1086" s="11">
        <v>46011.0</v>
      </c>
      <c r="B1086" s="25"/>
      <c r="C1086" s="25"/>
      <c r="D1086" s="25"/>
      <c r="E1086" s="25"/>
      <c r="F1086" s="26"/>
      <c r="G1086" s="25"/>
      <c r="H1086" s="25"/>
      <c r="I1086" s="25"/>
      <c r="J1086" s="25"/>
      <c r="K1086" s="25"/>
      <c r="L1086" s="25"/>
      <c r="M1086" s="25"/>
      <c r="N1086" s="27"/>
      <c r="O1086" s="27"/>
      <c r="P1086" s="27"/>
      <c r="Q1086" s="27"/>
      <c r="R1086" s="27"/>
      <c r="S1086" s="28"/>
      <c r="T1086" s="29"/>
      <c r="U1086" s="29"/>
      <c r="V1086" s="24"/>
      <c r="W1086" s="24"/>
    </row>
    <row r="1087">
      <c r="A1087" s="11">
        <v>46012.0</v>
      </c>
      <c r="B1087" s="25"/>
      <c r="C1087" s="25"/>
      <c r="D1087" s="25"/>
      <c r="E1087" s="25"/>
      <c r="F1087" s="26"/>
      <c r="G1087" s="25"/>
      <c r="H1087" s="25"/>
      <c r="I1087" s="25"/>
      <c r="J1087" s="25"/>
      <c r="K1087" s="25"/>
      <c r="L1087" s="25"/>
      <c r="M1087" s="25"/>
      <c r="N1087" s="27"/>
      <c r="O1087" s="27"/>
      <c r="P1087" s="27"/>
      <c r="Q1087" s="27"/>
      <c r="R1087" s="27"/>
      <c r="S1087" s="28"/>
      <c r="T1087" s="29"/>
      <c r="U1087" s="29"/>
      <c r="V1087" s="24"/>
      <c r="W1087" s="24"/>
    </row>
    <row r="1088">
      <c r="A1088" s="11">
        <v>46013.0</v>
      </c>
      <c r="B1088" s="17">
        <v>9.0</v>
      </c>
      <c r="C1088" s="17">
        <v>12.0</v>
      </c>
      <c r="D1088" s="17" t="s">
        <v>116</v>
      </c>
      <c r="E1088" s="17">
        <v>10.0</v>
      </c>
      <c r="F1088" s="18">
        <v>160.0</v>
      </c>
      <c r="G1088" s="25"/>
      <c r="H1088" s="25"/>
      <c r="I1088" s="25"/>
      <c r="J1088" s="17">
        <v>8.9</v>
      </c>
      <c r="K1088" s="25"/>
      <c r="L1088" s="17">
        <v>26.0</v>
      </c>
      <c r="M1088" s="17">
        <v>25.0</v>
      </c>
      <c r="N1088" s="27"/>
      <c r="O1088" s="27"/>
      <c r="P1088" s="27"/>
      <c r="Q1088" s="27"/>
      <c r="R1088" s="27"/>
      <c r="S1088" s="28"/>
      <c r="T1088" s="29"/>
      <c r="U1088" s="29"/>
      <c r="V1088" s="24"/>
      <c r="W1088" s="24"/>
    </row>
    <row r="1089">
      <c r="A1089" s="11">
        <v>46014.0</v>
      </c>
      <c r="B1089" s="17">
        <v>10.0</v>
      </c>
      <c r="C1089" s="17">
        <v>13.0</v>
      </c>
      <c r="D1089" s="17" t="s">
        <v>120</v>
      </c>
      <c r="E1089" s="17">
        <v>10.0</v>
      </c>
      <c r="F1089" s="18">
        <v>160.0</v>
      </c>
      <c r="G1089" s="25"/>
      <c r="H1089" s="25"/>
      <c r="I1089" s="25"/>
      <c r="J1089" s="17">
        <v>8.1</v>
      </c>
      <c r="K1089" s="25"/>
      <c r="L1089" s="17">
        <v>26.0</v>
      </c>
      <c r="M1089" s="17">
        <v>24.0</v>
      </c>
      <c r="N1089" s="27"/>
      <c r="O1089" s="27"/>
      <c r="P1089" s="27"/>
      <c r="Q1089" s="27"/>
      <c r="R1089" s="27"/>
      <c r="S1089" s="28"/>
      <c r="T1089" s="29"/>
      <c r="U1089" s="29"/>
      <c r="V1089" s="24"/>
      <c r="W1089" s="36">
        <v>60000.0</v>
      </c>
    </row>
    <row r="1090">
      <c r="A1090" s="11">
        <v>46015.0</v>
      </c>
      <c r="B1090" s="17">
        <v>8.0</v>
      </c>
      <c r="C1090" s="17">
        <v>11.0</v>
      </c>
      <c r="D1090" s="17" t="s">
        <v>79</v>
      </c>
      <c r="E1090" s="17">
        <v>10.0</v>
      </c>
      <c r="F1090" s="18">
        <v>160.0</v>
      </c>
      <c r="G1090" s="25"/>
      <c r="H1090" s="25"/>
      <c r="I1090" s="25"/>
      <c r="J1090" s="25"/>
      <c r="K1090" s="25"/>
      <c r="L1090" s="17">
        <v>23.0</v>
      </c>
      <c r="M1090" s="17">
        <v>21.0</v>
      </c>
      <c r="N1090" s="27"/>
      <c r="O1090" s="27"/>
      <c r="P1090" s="27"/>
      <c r="Q1090" s="27"/>
      <c r="R1090" s="27"/>
      <c r="S1090" s="28"/>
      <c r="T1090" s="29"/>
      <c r="U1090" s="29"/>
      <c r="V1090" s="24"/>
      <c r="W1090" s="24"/>
    </row>
    <row r="1091">
      <c r="A1091" s="11">
        <v>46016.0</v>
      </c>
      <c r="B1091" s="25"/>
      <c r="C1091" s="25"/>
      <c r="D1091" s="25"/>
      <c r="E1091" s="25"/>
      <c r="F1091" s="26"/>
      <c r="G1091" s="25"/>
      <c r="H1091" s="25"/>
      <c r="I1091" s="25"/>
      <c r="J1091" s="25"/>
      <c r="K1091" s="25"/>
      <c r="L1091" s="25"/>
      <c r="M1091" s="25"/>
      <c r="N1091" s="27"/>
      <c r="O1091" s="27"/>
      <c r="P1091" s="27"/>
      <c r="Q1091" s="27"/>
      <c r="R1091" s="27"/>
      <c r="S1091" s="28"/>
      <c r="T1091" s="29"/>
      <c r="U1091" s="29"/>
      <c r="V1091" s="24"/>
      <c r="W1091" s="24"/>
    </row>
    <row r="1092">
      <c r="A1092" s="11">
        <v>46017.0</v>
      </c>
      <c r="B1092" s="25"/>
      <c r="C1092" s="25"/>
      <c r="D1092" s="25"/>
      <c r="E1092" s="25"/>
      <c r="F1092" s="26"/>
      <c r="G1092" s="25"/>
      <c r="H1092" s="25"/>
      <c r="I1092" s="25"/>
      <c r="J1092" s="25"/>
      <c r="K1092" s="25"/>
      <c r="L1092" s="25"/>
      <c r="M1092" s="25"/>
      <c r="N1092" s="27"/>
      <c r="O1092" s="27"/>
      <c r="P1092" s="27"/>
      <c r="Q1092" s="27"/>
      <c r="R1092" s="27"/>
      <c r="S1092" s="28"/>
      <c r="T1092" s="29"/>
      <c r="U1092" s="29"/>
      <c r="V1092" s="24"/>
      <c r="W1092" s="24"/>
    </row>
    <row r="1093">
      <c r="A1093" s="11">
        <v>46018.0</v>
      </c>
      <c r="B1093" s="25"/>
      <c r="C1093" s="25"/>
      <c r="D1093" s="25"/>
      <c r="E1093" s="25"/>
      <c r="F1093" s="26"/>
      <c r="G1093" s="25"/>
      <c r="H1093" s="25"/>
      <c r="I1093" s="25"/>
      <c r="J1093" s="25"/>
      <c r="K1093" s="25"/>
      <c r="L1093" s="25"/>
      <c r="M1093" s="25"/>
      <c r="N1093" s="27"/>
      <c r="O1093" s="27"/>
      <c r="P1093" s="27"/>
      <c r="Q1093" s="27"/>
      <c r="R1093" s="27"/>
      <c r="S1093" s="28"/>
      <c r="T1093" s="29"/>
      <c r="U1093" s="29"/>
      <c r="V1093" s="24"/>
      <c r="W1093" s="24"/>
    </row>
    <row r="1094">
      <c r="A1094" s="11">
        <v>46019.0</v>
      </c>
      <c r="B1094" s="25"/>
      <c r="C1094" s="25"/>
      <c r="D1094" s="25"/>
      <c r="E1094" s="25"/>
      <c r="F1094" s="26"/>
      <c r="G1094" s="25"/>
      <c r="H1094" s="25"/>
      <c r="I1094" s="25"/>
      <c r="J1094" s="25"/>
      <c r="K1094" s="25"/>
      <c r="L1094" s="25"/>
      <c r="M1094" s="25"/>
      <c r="N1094" s="27"/>
      <c r="O1094" s="27"/>
      <c r="P1094" s="27"/>
      <c r="Q1094" s="27"/>
      <c r="R1094" s="27"/>
      <c r="S1094" s="28"/>
      <c r="T1094" s="29"/>
      <c r="U1094" s="29"/>
      <c r="V1094" s="24"/>
      <c r="W1094" s="24"/>
    </row>
    <row r="1095">
      <c r="A1095" s="11">
        <v>46020.0</v>
      </c>
      <c r="B1095" s="17">
        <v>1.0</v>
      </c>
      <c r="C1095" s="17">
        <v>5.0</v>
      </c>
      <c r="D1095" s="17" t="s">
        <v>116</v>
      </c>
      <c r="E1095" s="17">
        <v>7.0</v>
      </c>
      <c r="F1095" s="18">
        <v>160.0</v>
      </c>
      <c r="G1095" s="25"/>
      <c r="H1095" s="25"/>
      <c r="I1095" s="25"/>
      <c r="J1095" s="17">
        <v>8.7</v>
      </c>
      <c r="K1095" s="25"/>
      <c r="L1095" s="17">
        <v>26.0</v>
      </c>
      <c r="M1095" s="17">
        <v>23.0</v>
      </c>
      <c r="N1095" s="27"/>
      <c r="O1095" s="27"/>
      <c r="P1095" s="27"/>
      <c r="Q1095" s="27"/>
      <c r="R1095" s="27"/>
      <c r="S1095" s="28"/>
      <c r="T1095" s="29"/>
      <c r="U1095" s="29"/>
      <c r="V1095" s="36">
        <v>30000.0</v>
      </c>
      <c r="W1095" s="36">
        <v>50000.0</v>
      </c>
    </row>
    <row r="1096">
      <c r="A1096" s="11">
        <v>46021.0</v>
      </c>
      <c r="B1096" s="17">
        <v>1.0</v>
      </c>
      <c r="C1096" s="17">
        <v>8.0</v>
      </c>
      <c r="D1096" s="17" t="s">
        <v>116</v>
      </c>
      <c r="E1096" s="17">
        <v>6.0</v>
      </c>
      <c r="F1096" s="18">
        <v>160.0</v>
      </c>
      <c r="G1096" s="25"/>
      <c r="H1096" s="25"/>
      <c r="I1096" s="25"/>
      <c r="J1096" s="25"/>
      <c r="K1096" s="25"/>
      <c r="L1096" s="17">
        <v>25.0</v>
      </c>
      <c r="M1096" s="17">
        <v>23.0</v>
      </c>
      <c r="N1096" s="27"/>
      <c r="O1096" s="27"/>
      <c r="P1096" s="27"/>
      <c r="Q1096" s="27"/>
      <c r="R1096" s="27"/>
      <c r="S1096" s="28"/>
      <c r="T1096" s="29"/>
      <c r="U1096" s="29"/>
      <c r="V1096" s="24"/>
      <c r="W1096" s="24"/>
    </row>
    <row r="1097">
      <c r="A1097" s="11">
        <v>46022.0</v>
      </c>
      <c r="B1097" s="17">
        <v>1.0</v>
      </c>
      <c r="C1097" s="17">
        <v>7.0</v>
      </c>
      <c r="D1097" s="17" t="s">
        <v>64</v>
      </c>
      <c r="E1097" s="17">
        <v>4.0</v>
      </c>
      <c r="F1097" s="18">
        <v>160.0</v>
      </c>
      <c r="G1097" s="25"/>
      <c r="H1097" s="25"/>
      <c r="I1097" s="25"/>
      <c r="J1097" s="25"/>
      <c r="K1097" s="25"/>
      <c r="L1097" s="17">
        <v>26.0</v>
      </c>
      <c r="M1097" s="17">
        <v>23.0</v>
      </c>
      <c r="N1097" s="27"/>
      <c r="O1097" s="27"/>
      <c r="P1097" s="27"/>
      <c r="Q1097" s="27"/>
      <c r="R1097" s="27"/>
      <c r="S1097" s="28"/>
      <c r="T1097" s="29"/>
      <c r="U1097" s="29"/>
      <c r="V1097" s="24"/>
      <c r="W1097" s="24"/>
    </row>
    <row r="1098">
      <c r="A1098" s="11">
        <v>46023.0</v>
      </c>
      <c r="B1098" s="25"/>
      <c r="C1098" s="25"/>
      <c r="D1098" s="25"/>
      <c r="E1098" s="25"/>
      <c r="F1098" s="26"/>
      <c r="G1098" s="25"/>
      <c r="H1098" s="25"/>
      <c r="I1098" s="25"/>
      <c r="J1098" s="25"/>
      <c r="K1098" s="25"/>
      <c r="L1098" s="25"/>
      <c r="M1098" s="25"/>
      <c r="N1098" s="27"/>
      <c r="O1098" s="27"/>
      <c r="P1098" s="27"/>
      <c r="Q1098" s="27"/>
      <c r="R1098" s="27"/>
      <c r="S1098" s="28"/>
      <c r="T1098" s="29"/>
      <c r="U1098" s="29"/>
      <c r="V1098" s="24"/>
      <c r="W1098" s="24"/>
    </row>
    <row r="1099">
      <c r="A1099" s="11">
        <v>46024.0</v>
      </c>
      <c r="B1099" s="17">
        <v>2.0</v>
      </c>
      <c r="C1099" s="17">
        <v>7.0</v>
      </c>
      <c r="D1099" s="17" t="s">
        <v>73</v>
      </c>
      <c r="E1099" s="17">
        <v>5.0</v>
      </c>
      <c r="F1099" s="18">
        <v>160.0</v>
      </c>
      <c r="G1099" s="25"/>
      <c r="H1099" s="25"/>
      <c r="I1099" s="25"/>
      <c r="J1099" s="25"/>
      <c r="K1099" s="25"/>
      <c r="L1099" s="17">
        <v>25.0</v>
      </c>
      <c r="M1099" s="17">
        <v>25.0</v>
      </c>
      <c r="N1099" s="27"/>
      <c r="O1099" s="27"/>
      <c r="P1099" s="27"/>
      <c r="Q1099" s="27"/>
      <c r="R1099" s="27"/>
      <c r="S1099" s="28"/>
      <c r="T1099" s="29"/>
      <c r="U1099" s="29"/>
      <c r="V1099" s="24"/>
      <c r="W1099" s="24"/>
    </row>
    <row r="1100">
      <c r="A1100" s="11">
        <v>46025.0</v>
      </c>
      <c r="B1100" s="25"/>
      <c r="C1100" s="25"/>
      <c r="D1100" s="25"/>
      <c r="E1100" s="25"/>
      <c r="F1100" s="26"/>
      <c r="G1100" s="25"/>
      <c r="H1100" s="25"/>
      <c r="I1100" s="25"/>
      <c r="J1100" s="25"/>
      <c r="K1100" s="25"/>
      <c r="L1100" s="25"/>
      <c r="M1100" s="25"/>
      <c r="N1100" s="27"/>
      <c r="O1100" s="27"/>
      <c r="P1100" s="27"/>
      <c r="Q1100" s="27"/>
      <c r="R1100" s="27"/>
      <c r="S1100" s="28"/>
      <c r="T1100" s="29"/>
      <c r="U1100" s="29"/>
      <c r="V1100" s="24"/>
      <c r="W1100" s="24"/>
    </row>
    <row r="1101">
      <c r="A1101" s="11">
        <v>46026.0</v>
      </c>
      <c r="B1101" s="25"/>
      <c r="C1101" s="25"/>
      <c r="D1101" s="25"/>
      <c r="E1101" s="25"/>
      <c r="F1101" s="26"/>
      <c r="G1101" s="25"/>
      <c r="H1101" s="25"/>
      <c r="I1101" s="25"/>
      <c r="J1101" s="25"/>
      <c r="K1101" s="25"/>
      <c r="L1101" s="25"/>
      <c r="M1101" s="25"/>
      <c r="N1101" s="27"/>
      <c r="O1101" s="27"/>
      <c r="P1101" s="27"/>
      <c r="Q1101" s="27"/>
      <c r="R1101" s="27"/>
      <c r="S1101" s="28"/>
      <c r="T1101" s="29"/>
      <c r="U1101" s="29"/>
      <c r="V1101" s="24"/>
      <c r="W1101" s="24"/>
    </row>
    <row r="1102">
      <c r="A1102" s="11">
        <v>46027.0</v>
      </c>
      <c r="B1102" s="17">
        <v>3.0</v>
      </c>
      <c r="C1102" s="17">
        <v>6.0</v>
      </c>
      <c r="D1102" s="17" t="s">
        <v>73</v>
      </c>
      <c r="E1102" s="17">
        <v>6.0</v>
      </c>
      <c r="F1102" s="18">
        <v>160.0</v>
      </c>
      <c r="G1102" s="25"/>
      <c r="H1102" s="25"/>
      <c r="I1102" s="25"/>
      <c r="J1102" s="17">
        <v>8.9</v>
      </c>
      <c r="K1102" s="25"/>
      <c r="L1102" s="17">
        <v>30.0</v>
      </c>
      <c r="M1102" s="17">
        <v>29.0</v>
      </c>
      <c r="N1102" s="27"/>
      <c r="O1102" s="27"/>
      <c r="P1102" s="27"/>
      <c r="Q1102" s="27"/>
      <c r="R1102" s="27"/>
      <c r="S1102" s="28"/>
      <c r="T1102" s="29"/>
      <c r="U1102" s="29"/>
      <c r="V1102" s="24"/>
      <c r="W1102" s="24"/>
    </row>
    <row r="1103">
      <c r="A1103" s="11">
        <v>46028.0</v>
      </c>
      <c r="B1103" s="25"/>
      <c r="C1103" s="25"/>
      <c r="D1103" s="25"/>
      <c r="E1103" s="25"/>
      <c r="F1103" s="26"/>
      <c r="G1103" s="25"/>
      <c r="H1103" s="25"/>
      <c r="I1103" s="25"/>
      <c r="J1103" s="25"/>
      <c r="K1103" s="25"/>
      <c r="L1103" s="25"/>
      <c r="M1103" s="25"/>
      <c r="N1103" s="27"/>
      <c r="O1103" s="27"/>
      <c r="P1103" s="27"/>
      <c r="Q1103" s="27"/>
      <c r="R1103" s="27"/>
      <c r="S1103" s="28"/>
      <c r="T1103" s="29"/>
      <c r="U1103" s="29"/>
      <c r="V1103" s="24"/>
      <c r="W1103" s="24"/>
    </row>
    <row r="1104">
      <c r="A1104" s="11">
        <v>46029.0</v>
      </c>
      <c r="B1104" s="17">
        <v>0.0</v>
      </c>
      <c r="C1104" s="17">
        <v>6.0</v>
      </c>
      <c r="D1104" s="17" t="s">
        <v>73</v>
      </c>
      <c r="E1104" s="17">
        <v>5.0</v>
      </c>
      <c r="F1104" s="18">
        <v>160.0</v>
      </c>
      <c r="G1104" s="25"/>
      <c r="H1104" s="25"/>
      <c r="I1104" s="25"/>
      <c r="J1104" s="17">
        <v>8.9</v>
      </c>
      <c r="K1104" s="25"/>
      <c r="L1104" s="17">
        <v>30.0</v>
      </c>
      <c r="M1104" s="17">
        <v>36.0</v>
      </c>
      <c r="N1104" s="27"/>
      <c r="O1104" s="27"/>
      <c r="P1104" s="27"/>
      <c r="Q1104" s="27"/>
      <c r="R1104" s="27"/>
      <c r="S1104" s="28"/>
      <c r="T1104" s="29"/>
      <c r="U1104" s="29"/>
      <c r="V1104" s="36">
        <v>70000.0</v>
      </c>
      <c r="W1104" s="36">
        <v>20000.0</v>
      </c>
    </row>
    <row r="1105">
      <c r="A1105" s="11">
        <v>46030.0</v>
      </c>
      <c r="B1105" s="17">
        <v>-2.0</v>
      </c>
      <c r="C1105" s="17">
        <v>4.0</v>
      </c>
      <c r="D1105" s="17" t="s">
        <v>116</v>
      </c>
      <c r="E1105" s="17">
        <v>4.0</v>
      </c>
      <c r="F1105" s="18">
        <v>160.0</v>
      </c>
      <c r="G1105" s="25"/>
      <c r="H1105" s="25"/>
      <c r="I1105" s="25"/>
      <c r="J1105" s="25"/>
      <c r="K1105" s="25"/>
      <c r="L1105" s="17">
        <v>30.0</v>
      </c>
      <c r="M1105" s="17">
        <v>32.0</v>
      </c>
      <c r="N1105" s="27"/>
      <c r="O1105" s="27"/>
      <c r="P1105" s="27"/>
      <c r="Q1105" s="27"/>
      <c r="R1105" s="27"/>
      <c r="S1105" s="28"/>
      <c r="T1105" s="29"/>
      <c r="U1105" s="29"/>
      <c r="V1105" s="24"/>
      <c r="W1105" s="24"/>
    </row>
    <row r="1106">
      <c r="A1106" s="11">
        <v>46031.0</v>
      </c>
      <c r="B1106" s="17">
        <v>0.0</v>
      </c>
      <c r="C1106" s="17">
        <v>6.0</v>
      </c>
      <c r="D1106" s="17" t="s">
        <v>73</v>
      </c>
      <c r="E1106" s="17">
        <v>4.0</v>
      </c>
      <c r="F1106" s="18">
        <v>160.0</v>
      </c>
      <c r="G1106" s="25"/>
      <c r="H1106" s="25"/>
      <c r="I1106" s="25"/>
      <c r="J1106" s="17">
        <v>9.1</v>
      </c>
      <c r="K1106" s="25"/>
      <c r="L1106" s="17">
        <v>30.0</v>
      </c>
      <c r="M1106" s="17">
        <v>30.0</v>
      </c>
      <c r="N1106" s="27"/>
      <c r="O1106" s="27"/>
      <c r="P1106" s="27"/>
      <c r="Q1106" s="27"/>
      <c r="R1106" s="27"/>
      <c r="S1106" s="28"/>
      <c r="T1106" s="29"/>
      <c r="U1106" s="29"/>
      <c r="V1106" s="24"/>
      <c r="W1106" s="24"/>
    </row>
    <row r="1107">
      <c r="A1107" s="11">
        <v>46032.0</v>
      </c>
      <c r="B1107" s="25"/>
      <c r="C1107" s="25"/>
      <c r="D1107" s="25"/>
      <c r="E1107" s="25"/>
      <c r="F1107" s="26"/>
      <c r="G1107" s="25"/>
      <c r="H1107" s="25"/>
      <c r="I1107" s="25"/>
      <c r="J1107" s="25"/>
      <c r="K1107" s="25"/>
      <c r="L1107" s="25"/>
      <c r="M1107" s="25"/>
      <c r="N1107" s="27"/>
      <c r="O1107" s="27"/>
      <c r="P1107" s="27"/>
      <c r="Q1107" s="27"/>
      <c r="R1107" s="27"/>
      <c r="S1107" s="28"/>
      <c r="T1107" s="29"/>
      <c r="U1107" s="29"/>
      <c r="V1107" s="24"/>
      <c r="W1107" s="24"/>
    </row>
    <row r="1108">
      <c r="A1108" s="11">
        <v>46033.0</v>
      </c>
      <c r="B1108" s="25"/>
      <c r="C1108" s="25"/>
      <c r="D1108" s="25"/>
      <c r="E1108" s="25"/>
      <c r="F1108" s="26"/>
      <c r="G1108" s="25"/>
      <c r="H1108" s="25"/>
      <c r="I1108" s="25"/>
      <c r="J1108" s="25"/>
      <c r="K1108" s="25"/>
      <c r="L1108" s="25"/>
      <c r="M1108" s="25"/>
      <c r="N1108" s="27"/>
      <c r="O1108" s="27"/>
      <c r="P1108" s="27"/>
      <c r="Q1108" s="27"/>
      <c r="R1108" s="27"/>
      <c r="S1108" s="28"/>
      <c r="T1108" s="29"/>
      <c r="U1108" s="29"/>
      <c r="V1108" s="24"/>
      <c r="W1108" s="24"/>
    </row>
    <row r="1109">
      <c r="A1109" s="11">
        <v>46034.0</v>
      </c>
      <c r="B1109" s="17">
        <v>-1.0</v>
      </c>
      <c r="C1109" s="17">
        <v>6.0</v>
      </c>
      <c r="D1109" s="17" t="s">
        <v>73</v>
      </c>
      <c r="E1109" s="17">
        <v>5.0</v>
      </c>
      <c r="F1109" s="18">
        <v>160.0</v>
      </c>
      <c r="G1109" s="25"/>
      <c r="H1109" s="25"/>
      <c r="I1109" s="25"/>
      <c r="J1109" s="25"/>
      <c r="K1109" s="25"/>
      <c r="L1109" s="17">
        <v>29.0</v>
      </c>
      <c r="M1109" s="17">
        <v>29.0</v>
      </c>
      <c r="N1109" s="27"/>
      <c r="O1109" s="27"/>
      <c r="P1109" s="27"/>
      <c r="Q1109" s="27"/>
      <c r="R1109" s="27"/>
      <c r="S1109" s="28"/>
      <c r="T1109" s="29"/>
      <c r="U1109" s="29"/>
      <c r="V1109" s="24"/>
      <c r="W1109" s="24"/>
    </row>
    <row r="1110">
      <c r="A1110" s="11">
        <v>46035.0</v>
      </c>
      <c r="B1110" s="17">
        <v>1.0</v>
      </c>
      <c r="C1110" s="17">
        <v>6.0</v>
      </c>
      <c r="D1110" s="17" t="s">
        <v>73</v>
      </c>
      <c r="E1110" s="17">
        <v>5.0</v>
      </c>
      <c r="F1110" s="18">
        <v>160.0</v>
      </c>
      <c r="G1110" s="25"/>
      <c r="H1110" s="25"/>
      <c r="I1110" s="25"/>
      <c r="J1110" s="17">
        <v>9.0</v>
      </c>
      <c r="K1110" s="25"/>
      <c r="L1110" s="17">
        <v>30.0</v>
      </c>
      <c r="M1110" s="17">
        <v>30.0</v>
      </c>
      <c r="N1110" s="27"/>
      <c r="O1110" s="27"/>
      <c r="P1110" s="27"/>
      <c r="Q1110" s="27"/>
      <c r="R1110" s="27"/>
      <c r="S1110" s="28"/>
      <c r="T1110" s="29"/>
      <c r="U1110" s="29"/>
      <c r="V1110" s="24"/>
      <c r="W1110" s="24"/>
    </row>
    <row r="1111">
      <c r="A1111" s="11">
        <v>46036.0</v>
      </c>
      <c r="B1111" s="17">
        <v>3.0</v>
      </c>
      <c r="C1111" s="17">
        <v>8.0</v>
      </c>
      <c r="D1111" s="17" t="s">
        <v>73</v>
      </c>
      <c r="E1111" s="17">
        <v>5.0</v>
      </c>
      <c r="F1111" s="18">
        <v>160.0</v>
      </c>
      <c r="G1111" s="25"/>
      <c r="H1111" s="25"/>
      <c r="I1111" s="25"/>
      <c r="J1111" s="25"/>
      <c r="K1111" s="25"/>
      <c r="L1111" s="17">
        <v>31.0</v>
      </c>
      <c r="M1111" s="17">
        <v>31.0</v>
      </c>
      <c r="N1111" s="27"/>
      <c r="O1111" s="27"/>
      <c r="P1111" s="27"/>
      <c r="Q1111" s="27"/>
      <c r="R1111" s="27"/>
      <c r="S1111" s="28"/>
      <c r="T1111" s="29"/>
      <c r="U1111" s="29"/>
      <c r="V1111" s="24"/>
      <c r="W1111" s="24"/>
    </row>
    <row r="1112">
      <c r="A1112" s="11">
        <v>46037.0</v>
      </c>
      <c r="B1112" s="17">
        <v>4.0</v>
      </c>
      <c r="C1112" s="17">
        <v>10.0</v>
      </c>
      <c r="D1112" s="17" t="s">
        <v>80</v>
      </c>
      <c r="E1112" s="17">
        <v>6.0</v>
      </c>
      <c r="F1112" s="18">
        <v>160.0</v>
      </c>
      <c r="G1112" s="25"/>
      <c r="H1112" s="25"/>
      <c r="I1112" s="25"/>
      <c r="J1112" s="17">
        <v>8.8</v>
      </c>
      <c r="K1112" s="25"/>
      <c r="L1112" s="17">
        <v>31.0</v>
      </c>
      <c r="M1112" s="17">
        <v>33.0</v>
      </c>
      <c r="N1112" s="27"/>
      <c r="O1112" s="27"/>
      <c r="P1112" s="27"/>
      <c r="Q1112" s="27"/>
      <c r="R1112" s="27"/>
      <c r="S1112" s="28"/>
      <c r="T1112" s="29"/>
      <c r="U1112" s="29"/>
      <c r="V1112" s="24"/>
      <c r="W1112" s="24"/>
    </row>
    <row r="1113">
      <c r="A1113" s="11">
        <v>46038.0</v>
      </c>
      <c r="B1113" s="25"/>
      <c r="C1113" s="25"/>
      <c r="D1113" s="25"/>
      <c r="E1113" s="25"/>
      <c r="F1113" s="26"/>
      <c r="G1113" s="25"/>
      <c r="H1113" s="25"/>
      <c r="I1113" s="25"/>
      <c r="J1113" s="25"/>
      <c r="K1113" s="25"/>
      <c r="L1113" s="25"/>
      <c r="M1113" s="25"/>
      <c r="N1113" s="27"/>
      <c r="O1113" s="27"/>
      <c r="P1113" s="27"/>
      <c r="Q1113" s="27"/>
      <c r="R1113" s="27"/>
      <c r="S1113" s="28"/>
      <c r="T1113" s="29"/>
      <c r="U1113" s="29"/>
      <c r="V1113" s="24"/>
      <c r="W1113" s="24"/>
    </row>
    <row r="1114">
      <c r="A1114" s="11">
        <v>46039.0</v>
      </c>
      <c r="B1114" s="25"/>
      <c r="C1114" s="25"/>
      <c r="D1114" s="25"/>
      <c r="E1114" s="25"/>
      <c r="F1114" s="26"/>
      <c r="G1114" s="25"/>
      <c r="H1114" s="25"/>
      <c r="I1114" s="25"/>
      <c r="J1114" s="25"/>
      <c r="K1114" s="25"/>
      <c r="L1114" s="25"/>
      <c r="M1114" s="25"/>
      <c r="N1114" s="27"/>
      <c r="O1114" s="27"/>
      <c r="P1114" s="27"/>
      <c r="Q1114" s="27"/>
      <c r="R1114" s="27"/>
      <c r="S1114" s="28"/>
      <c r="T1114" s="29"/>
      <c r="U1114" s="29"/>
      <c r="V1114" s="24"/>
      <c r="W1114" s="24"/>
    </row>
    <row r="1115">
      <c r="A1115" s="11">
        <v>46040.0</v>
      </c>
      <c r="B1115" s="25"/>
      <c r="C1115" s="25"/>
      <c r="D1115" s="25"/>
      <c r="E1115" s="25"/>
      <c r="F1115" s="26"/>
      <c r="G1115" s="25"/>
      <c r="H1115" s="25"/>
      <c r="I1115" s="25"/>
      <c r="J1115" s="25"/>
      <c r="K1115" s="25"/>
      <c r="L1115" s="25"/>
      <c r="M1115" s="25"/>
      <c r="N1115" s="27"/>
      <c r="O1115" s="27"/>
      <c r="P1115" s="27"/>
      <c r="Q1115" s="27"/>
      <c r="R1115" s="27"/>
      <c r="S1115" s="28"/>
      <c r="T1115" s="29"/>
      <c r="U1115" s="29"/>
      <c r="V1115" s="24"/>
      <c r="W1115" s="24"/>
    </row>
    <row r="1116">
      <c r="A1116" s="11">
        <v>46041.0</v>
      </c>
      <c r="B1116" s="25"/>
      <c r="C1116" s="25"/>
      <c r="D1116" s="25"/>
      <c r="E1116" s="25"/>
      <c r="F1116" s="26"/>
      <c r="G1116" s="25"/>
      <c r="H1116" s="25"/>
      <c r="I1116" s="25"/>
      <c r="J1116" s="25"/>
      <c r="K1116" s="25"/>
      <c r="L1116" s="25"/>
      <c r="M1116" s="25"/>
      <c r="N1116" s="27"/>
      <c r="O1116" s="27"/>
      <c r="P1116" s="27"/>
      <c r="Q1116" s="27"/>
      <c r="R1116" s="27"/>
      <c r="S1116" s="28"/>
      <c r="T1116" s="29"/>
      <c r="U1116" s="29"/>
      <c r="V1116" s="24"/>
      <c r="W1116" s="24"/>
    </row>
    <row r="1117">
      <c r="A1117" s="11">
        <v>46042.0</v>
      </c>
      <c r="B1117" s="25"/>
      <c r="C1117" s="25"/>
      <c r="D1117" s="25"/>
      <c r="E1117" s="25"/>
      <c r="F1117" s="26"/>
      <c r="G1117" s="25"/>
      <c r="H1117" s="25"/>
      <c r="I1117" s="25"/>
      <c r="J1117" s="25"/>
      <c r="K1117" s="25"/>
      <c r="L1117" s="25"/>
      <c r="M1117" s="25"/>
      <c r="N1117" s="27"/>
      <c r="O1117" s="27"/>
      <c r="P1117" s="27"/>
      <c r="Q1117" s="27"/>
      <c r="R1117" s="27"/>
      <c r="S1117" s="28"/>
      <c r="T1117" s="29"/>
      <c r="U1117" s="29"/>
      <c r="V1117" s="24"/>
      <c r="W1117" s="24"/>
    </row>
    <row r="1118">
      <c r="A1118" s="41"/>
      <c r="B1118" s="25"/>
      <c r="C1118" s="25"/>
      <c r="D1118" s="25"/>
      <c r="E1118" s="25"/>
      <c r="F1118" s="26"/>
      <c r="G1118" s="25"/>
      <c r="H1118" s="25"/>
      <c r="I1118" s="25"/>
      <c r="J1118" s="25"/>
      <c r="K1118" s="25"/>
      <c r="L1118" s="25"/>
      <c r="M1118" s="25"/>
      <c r="N1118" s="27"/>
      <c r="O1118" s="27"/>
      <c r="P1118" s="27"/>
      <c r="Q1118" s="27"/>
      <c r="R1118" s="27"/>
      <c r="S1118" s="28"/>
      <c r="T1118" s="29"/>
      <c r="U1118" s="29"/>
      <c r="V1118" s="24"/>
      <c r="W1118" s="24"/>
    </row>
    <row r="1119">
      <c r="A1119" s="41"/>
      <c r="B1119" s="25"/>
      <c r="C1119" s="25"/>
      <c r="D1119" s="25"/>
      <c r="E1119" s="25"/>
      <c r="F1119" s="26"/>
      <c r="G1119" s="25"/>
      <c r="H1119" s="25"/>
      <c r="I1119" s="25"/>
      <c r="J1119" s="25"/>
      <c r="K1119" s="25"/>
      <c r="L1119" s="25"/>
      <c r="M1119" s="25"/>
      <c r="N1119" s="27"/>
      <c r="O1119" s="27"/>
      <c r="P1119" s="27"/>
      <c r="Q1119" s="27"/>
      <c r="R1119" s="27"/>
      <c r="S1119" s="28"/>
      <c r="T1119" s="29"/>
      <c r="U1119" s="29"/>
      <c r="V1119" s="24"/>
      <c r="W1119" s="24"/>
    </row>
    <row r="1120">
      <c r="A1120" s="41"/>
      <c r="B1120" s="25"/>
      <c r="C1120" s="25"/>
      <c r="D1120" s="25"/>
      <c r="E1120" s="25"/>
      <c r="F1120" s="26"/>
      <c r="G1120" s="25"/>
      <c r="H1120" s="25"/>
      <c r="I1120" s="25"/>
      <c r="J1120" s="25"/>
      <c r="K1120" s="25"/>
      <c r="L1120" s="25"/>
      <c r="M1120" s="25"/>
      <c r="N1120" s="27"/>
      <c r="O1120" s="27"/>
      <c r="P1120" s="27"/>
      <c r="Q1120" s="27"/>
      <c r="R1120" s="27"/>
      <c r="S1120" s="28"/>
      <c r="T1120" s="29"/>
      <c r="U1120" s="29"/>
      <c r="V1120" s="24"/>
      <c r="W1120" s="24"/>
    </row>
    <row r="1121">
      <c r="A1121" s="41"/>
      <c r="B1121" s="25"/>
      <c r="C1121" s="25"/>
      <c r="D1121" s="25"/>
      <c r="E1121" s="25"/>
      <c r="F1121" s="26"/>
      <c r="G1121" s="25"/>
      <c r="H1121" s="25"/>
      <c r="I1121" s="25"/>
      <c r="J1121" s="25"/>
      <c r="K1121" s="25"/>
      <c r="L1121" s="25"/>
      <c r="M1121" s="25"/>
      <c r="N1121" s="27"/>
      <c r="O1121" s="27"/>
      <c r="P1121" s="27"/>
      <c r="Q1121" s="27"/>
      <c r="R1121" s="27"/>
      <c r="S1121" s="28"/>
      <c r="T1121" s="29"/>
      <c r="U1121" s="29"/>
      <c r="V1121" s="24"/>
      <c r="W1121" s="24"/>
    </row>
    <row r="1122">
      <c r="A1122" s="41"/>
      <c r="B1122" s="25"/>
      <c r="C1122" s="25"/>
      <c r="D1122" s="25"/>
      <c r="E1122" s="25"/>
      <c r="F1122" s="26"/>
      <c r="G1122" s="25"/>
      <c r="H1122" s="25"/>
      <c r="I1122" s="25"/>
      <c r="J1122" s="25"/>
      <c r="K1122" s="25"/>
      <c r="L1122" s="25"/>
      <c r="M1122" s="25"/>
      <c r="N1122" s="27"/>
      <c r="O1122" s="27"/>
      <c r="P1122" s="27"/>
      <c r="Q1122" s="27"/>
      <c r="R1122" s="27"/>
      <c r="S1122" s="28"/>
      <c r="T1122" s="29"/>
      <c r="U1122" s="29"/>
      <c r="V1122" s="24"/>
      <c r="W1122" s="24"/>
    </row>
    <row r="1123">
      <c r="A1123" s="41"/>
      <c r="B1123" s="25"/>
      <c r="C1123" s="25"/>
      <c r="D1123" s="25"/>
      <c r="E1123" s="25"/>
      <c r="F1123" s="26"/>
      <c r="G1123" s="25"/>
      <c r="H1123" s="25"/>
      <c r="I1123" s="25"/>
      <c r="J1123" s="25"/>
      <c r="K1123" s="25"/>
      <c r="L1123" s="25"/>
      <c r="M1123" s="25"/>
      <c r="N1123" s="27"/>
      <c r="O1123" s="27"/>
      <c r="P1123" s="27"/>
      <c r="Q1123" s="27"/>
      <c r="R1123" s="27"/>
      <c r="S1123" s="28"/>
      <c r="T1123" s="29"/>
      <c r="U1123" s="29"/>
      <c r="V1123" s="24"/>
      <c r="W1123" s="24"/>
    </row>
    <row r="1124">
      <c r="A1124" s="41"/>
      <c r="B1124" s="25"/>
      <c r="C1124" s="25"/>
      <c r="D1124" s="25"/>
      <c r="E1124" s="25"/>
      <c r="F1124" s="26"/>
      <c r="G1124" s="25"/>
      <c r="H1124" s="25"/>
      <c r="I1124" s="25"/>
      <c r="J1124" s="25"/>
      <c r="K1124" s="25"/>
      <c r="L1124" s="25"/>
      <c r="M1124" s="25"/>
      <c r="N1124" s="27"/>
      <c r="O1124" s="27"/>
      <c r="P1124" s="27"/>
      <c r="Q1124" s="27"/>
      <c r="R1124" s="27"/>
      <c r="S1124" s="28"/>
      <c r="T1124" s="29"/>
      <c r="U1124" s="29"/>
      <c r="V1124" s="24"/>
      <c r="W1124" s="24"/>
    </row>
    <row r="1125">
      <c r="A1125" s="41"/>
      <c r="B1125" s="25"/>
      <c r="C1125" s="25"/>
      <c r="D1125" s="25"/>
      <c r="E1125" s="25"/>
      <c r="F1125" s="26"/>
      <c r="G1125" s="25"/>
      <c r="H1125" s="25"/>
      <c r="I1125" s="25"/>
      <c r="J1125" s="25"/>
      <c r="K1125" s="25"/>
      <c r="L1125" s="25"/>
      <c r="M1125" s="25"/>
      <c r="N1125" s="27"/>
      <c r="O1125" s="27"/>
      <c r="P1125" s="27"/>
      <c r="Q1125" s="27"/>
      <c r="R1125" s="27"/>
      <c r="S1125" s="28"/>
      <c r="T1125" s="29"/>
      <c r="U1125" s="29"/>
      <c r="V1125" s="24"/>
      <c r="W1125" s="24"/>
    </row>
    <row r="1126">
      <c r="A1126" s="41"/>
      <c r="B1126" s="25"/>
      <c r="C1126" s="25"/>
      <c r="D1126" s="25"/>
      <c r="E1126" s="25"/>
      <c r="F1126" s="26"/>
      <c r="G1126" s="25"/>
      <c r="H1126" s="25"/>
      <c r="I1126" s="25"/>
      <c r="J1126" s="25"/>
      <c r="K1126" s="25"/>
      <c r="L1126" s="25"/>
      <c r="M1126" s="25"/>
      <c r="N1126" s="27"/>
      <c r="O1126" s="27"/>
      <c r="P1126" s="27"/>
      <c r="Q1126" s="27"/>
      <c r="R1126" s="27"/>
      <c r="S1126" s="28"/>
      <c r="T1126" s="29"/>
      <c r="U1126" s="29"/>
      <c r="V1126" s="24"/>
      <c r="W1126" s="24"/>
    </row>
    <row r="1127">
      <c r="A1127" s="41"/>
      <c r="B1127" s="25"/>
      <c r="C1127" s="25"/>
      <c r="D1127" s="25"/>
      <c r="E1127" s="25"/>
      <c r="F1127" s="26"/>
      <c r="G1127" s="25"/>
      <c r="H1127" s="25"/>
      <c r="I1127" s="25"/>
      <c r="J1127" s="25"/>
      <c r="K1127" s="25"/>
      <c r="L1127" s="25"/>
      <c r="M1127" s="25"/>
      <c r="N1127" s="27"/>
      <c r="O1127" s="27"/>
      <c r="P1127" s="27"/>
      <c r="Q1127" s="27"/>
      <c r="R1127" s="27"/>
      <c r="S1127" s="28"/>
      <c r="T1127" s="29"/>
      <c r="U1127" s="29"/>
      <c r="V1127" s="24"/>
      <c r="W1127" s="24"/>
    </row>
    <row r="1128">
      <c r="A1128" s="41"/>
      <c r="B1128" s="25"/>
      <c r="C1128" s="25"/>
      <c r="D1128" s="25"/>
      <c r="E1128" s="25"/>
      <c r="F1128" s="26"/>
      <c r="G1128" s="25"/>
      <c r="H1128" s="25"/>
      <c r="I1128" s="25"/>
      <c r="J1128" s="25"/>
      <c r="K1128" s="25"/>
      <c r="L1128" s="25"/>
      <c r="M1128" s="25"/>
      <c r="N1128" s="27"/>
      <c r="O1128" s="27"/>
      <c r="P1128" s="27"/>
      <c r="Q1128" s="27"/>
      <c r="R1128" s="27"/>
      <c r="S1128" s="28"/>
      <c r="T1128" s="29"/>
      <c r="U1128" s="29"/>
      <c r="V1128" s="24"/>
      <c r="W1128" s="24"/>
    </row>
    <row r="1129">
      <c r="A1129" s="41"/>
      <c r="B1129" s="25"/>
      <c r="C1129" s="25"/>
      <c r="D1129" s="25"/>
      <c r="E1129" s="25"/>
      <c r="F1129" s="26"/>
      <c r="G1129" s="25"/>
      <c r="H1129" s="25"/>
      <c r="I1129" s="25"/>
      <c r="J1129" s="25"/>
      <c r="K1129" s="25"/>
      <c r="L1129" s="25"/>
      <c r="M1129" s="25"/>
      <c r="N1129" s="27"/>
      <c r="O1129" s="27"/>
      <c r="P1129" s="27"/>
      <c r="Q1129" s="27"/>
      <c r="R1129" s="27"/>
      <c r="S1129" s="28"/>
      <c r="T1129" s="29"/>
      <c r="U1129" s="29"/>
      <c r="V1129" s="24"/>
      <c r="W1129" s="24"/>
    </row>
    <row r="1130">
      <c r="A1130" s="41"/>
      <c r="B1130" s="25"/>
      <c r="C1130" s="25"/>
      <c r="D1130" s="25"/>
      <c r="E1130" s="25"/>
      <c r="F1130" s="26"/>
      <c r="G1130" s="25"/>
      <c r="H1130" s="25"/>
      <c r="I1130" s="25"/>
      <c r="J1130" s="25"/>
      <c r="K1130" s="25"/>
      <c r="L1130" s="25"/>
      <c r="M1130" s="25"/>
      <c r="N1130" s="27"/>
      <c r="O1130" s="27"/>
      <c r="P1130" s="27"/>
      <c r="Q1130" s="27"/>
      <c r="R1130" s="27"/>
      <c r="S1130" s="28"/>
      <c r="T1130" s="29"/>
      <c r="U1130" s="29"/>
      <c r="V1130" s="24"/>
      <c r="W1130" s="24"/>
    </row>
    <row r="1131">
      <c r="A1131" s="41"/>
      <c r="B1131" s="25"/>
      <c r="C1131" s="25"/>
      <c r="D1131" s="25"/>
      <c r="E1131" s="25"/>
      <c r="F1131" s="26"/>
      <c r="G1131" s="25"/>
      <c r="H1131" s="25"/>
      <c r="I1131" s="25"/>
      <c r="J1131" s="25"/>
      <c r="K1131" s="25"/>
      <c r="L1131" s="25"/>
      <c r="M1131" s="25"/>
      <c r="N1131" s="27"/>
      <c r="O1131" s="27"/>
      <c r="P1131" s="27"/>
      <c r="Q1131" s="27"/>
      <c r="R1131" s="27"/>
      <c r="S1131" s="28"/>
      <c r="T1131" s="29"/>
      <c r="U1131" s="29"/>
      <c r="V1131" s="24"/>
      <c r="W1131" s="24"/>
    </row>
    <row r="1132">
      <c r="A1132" s="41"/>
      <c r="B1132" s="25"/>
      <c r="C1132" s="25"/>
      <c r="D1132" s="25"/>
      <c r="E1132" s="25"/>
      <c r="F1132" s="26"/>
      <c r="G1132" s="25"/>
      <c r="H1132" s="25"/>
      <c r="I1132" s="25"/>
      <c r="J1132" s="25"/>
      <c r="K1132" s="25"/>
      <c r="L1132" s="25"/>
      <c r="M1132" s="25"/>
      <c r="N1132" s="27"/>
      <c r="O1132" s="27"/>
      <c r="P1132" s="27"/>
      <c r="Q1132" s="27"/>
      <c r="R1132" s="27"/>
      <c r="S1132" s="28"/>
      <c r="T1132" s="29"/>
      <c r="U1132" s="29"/>
      <c r="V1132" s="24"/>
      <c r="W1132" s="24"/>
    </row>
    <row r="1133">
      <c r="A1133" s="41"/>
      <c r="B1133" s="25"/>
      <c r="C1133" s="25"/>
      <c r="D1133" s="25"/>
      <c r="E1133" s="25"/>
      <c r="F1133" s="26"/>
      <c r="G1133" s="25"/>
      <c r="H1133" s="25"/>
      <c r="I1133" s="25"/>
      <c r="J1133" s="25"/>
      <c r="K1133" s="25"/>
      <c r="L1133" s="25"/>
      <c r="M1133" s="25"/>
      <c r="N1133" s="27"/>
      <c r="O1133" s="27"/>
      <c r="P1133" s="27"/>
      <c r="Q1133" s="27"/>
      <c r="R1133" s="27"/>
      <c r="S1133" s="28"/>
      <c r="T1133" s="29"/>
      <c r="U1133" s="29"/>
      <c r="V1133" s="24"/>
      <c r="W1133" s="24"/>
    </row>
    <row r="1134">
      <c r="A1134" s="41"/>
      <c r="B1134" s="25"/>
      <c r="C1134" s="25"/>
      <c r="D1134" s="25"/>
      <c r="E1134" s="25"/>
      <c r="F1134" s="26"/>
      <c r="G1134" s="25"/>
      <c r="H1134" s="25"/>
      <c r="I1134" s="25"/>
      <c r="J1134" s="25"/>
      <c r="K1134" s="25"/>
      <c r="L1134" s="25"/>
      <c r="M1134" s="25"/>
      <c r="N1134" s="27"/>
      <c r="O1134" s="27"/>
      <c r="P1134" s="27"/>
      <c r="Q1134" s="27"/>
      <c r="R1134" s="27"/>
      <c r="S1134" s="28"/>
      <c r="T1134" s="29"/>
      <c r="U1134" s="29"/>
      <c r="V1134" s="24"/>
      <c r="W1134" s="24"/>
    </row>
    <row r="1135">
      <c r="A1135" s="41"/>
      <c r="B1135" s="25"/>
      <c r="C1135" s="25"/>
      <c r="D1135" s="25"/>
      <c r="E1135" s="25"/>
      <c r="F1135" s="26"/>
      <c r="G1135" s="25"/>
      <c r="H1135" s="25"/>
      <c r="I1135" s="25"/>
      <c r="J1135" s="25"/>
      <c r="K1135" s="25"/>
      <c r="L1135" s="25"/>
      <c r="M1135" s="25"/>
      <c r="N1135" s="27"/>
      <c r="O1135" s="27"/>
      <c r="P1135" s="27"/>
      <c r="Q1135" s="27"/>
      <c r="R1135" s="27"/>
      <c r="S1135" s="28"/>
      <c r="T1135" s="29"/>
      <c r="U1135" s="29"/>
      <c r="V1135" s="24"/>
      <c r="W1135" s="24"/>
    </row>
    <row r="1136">
      <c r="A1136" s="41"/>
      <c r="B1136" s="25"/>
      <c r="C1136" s="25"/>
      <c r="D1136" s="25"/>
      <c r="E1136" s="25"/>
      <c r="F1136" s="26"/>
      <c r="G1136" s="25"/>
      <c r="H1136" s="25"/>
      <c r="I1136" s="25"/>
      <c r="J1136" s="25"/>
      <c r="K1136" s="25"/>
      <c r="L1136" s="25"/>
      <c r="M1136" s="25"/>
      <c r="N1136" s="27"/>
      <c r="O1136" s="27"/>
      <c r="P1136" s="27"/>
      <c r="Q1136" s="27"/>
      <c r="R1136" s="27"/>
      <c r="S1136" s="28"/>
      <c r="T1136" s="29"/>
      <c r="U1136" s="29"/>
      <c r="V1136" s="24"/>
      <c r="W1136" s="24"/>
    </row>
    <row r="1137">
      <c r="A1137" s="41"/>
      <c r="B1137" s="25"/>
      <c r="C1137" s="25"/>
      <c r="D1137" s="25"/>
      <c r="E1137" s="25"/>
      <c r="F1137" s="26"/>
      <c r="G1137" s="25"/>
      <c r="H1137" s="25"/>
      <c r="I1137" s="25"/>
      <c r="J1137" s="25"/>
      <c r="K1137" s="25"/>
      <c r="L1137" s="25"/>
      <c r="M1137" s="25"/>
      <c r="N1137" s="27"/>
      <c r="O1137" s="27"/>
      <c r="P1137" s="27"/>
      <c r="Q1137" s="27"/>
      <c r="R1137" s="27"/>
      <c r="S1137" s="28"/>
      <c r="T1137" s="29"/>
      <c r="U1137" s="29"/>
      <c r="V1137" s="24"/>
      <c r="W1137" s="24"/>
    </row>
    <row r="1138">
      <c r="A1138" s="41"/>
      <c r="B1138" s="25"/>
      <c r="C1138" s="25"/>
      <c r="D1138" s="25"/>
      <c r="E1138" s="25"/>
      <c r="F1138" s="26"/>
      <c r="G1138" s="25"/>
      <c r="H1138" s="25"/>
      <c r="I1138" s="25"/>
      <c r="J1138" s="25"/>
      <c r="K1138" s="25"/>
      <c r="L1138" s="25"/>
      <c r="M1138" s="25"/>
      <c r="N1138" s="27"/>
      <c r="O1138" s="27"/>
      <c r="P1138" s="27"/>
      <c r="Q1138" s="27"/>
      <c r="R1138" s="27"/>
      <c r="S1138" s="28"/>
      <c r="T1138" s="29"/>
      <c r="U1138" s="29"/>
      <c r="V1138" s="24"/>
      <c r="W1138" s="24"/>
    </row>
    <row r="1139">
      <c r="A1139" s="41"/>
      <c r="B1139" s="25"/>
      <c r="C1139" s="25"/>
      <c r="D1139" s="25"/>
      <c r="E1139" s="25"/>
      <c r="F1139" s="26"/>
      <c r="G1139" s="25"/>
      <c r="H1139" s="25"/>
      <c r="I1139" s="25"/>
      <c r="J1139" s="25"/>
      <c r="K1139" s="25"/>
      <c r="L1139" s="25"/>
      <c r="M1139" s="25"/>
      <c r="N1139" s="27"/>
      <c r="O1139" s="27"/>
      <c r="P1139" s="27"/>
      <c r="Q1139" s="27"/>
      <c r="R1139" s="27"/>
      <c r="S1139" s="28"/>
      <c r="T1139" s="29"/>
      <c r="U1139" s="29"/>
      <c r="V1139" s="24"/>
      <c r="W1139" s="24"/>
    </row>
    <row r="1140">
      <c r="A1140" s="41"/>
      <c r="B1140" s="25"/>
      <c r="C1140" s="25"/>
      <c r="D1140" s="25"/>
      <c r="E1140" s="25"/>
      <c r="F1140" s="26"/>
      <c r="G1140" s="25"/>
      <c r="H1140" s="25"/>
      <c r="I1140" s="25"/>
      <c r="J1140" s="25"/>
      <c r="K1140" s="25"/>
      <c r="L1140" s="25"/>
      <c r="M1140" s="25"/>
      <c r="N1140" s="27"/>
      <c r="O1140" s="27"/>
      <c r="P1140" s="27"/>
      <c r="Q1140" s="27"/>
      <c r="R1140" s="27"/>
      <c r="S1140" s="28"/>
      <c r="T1140" s="29"/>
      <c r="U1140" s="29"/>
      <c r="V1140" s="24"/>
      <c r="W1140" s="24"/>
    </row>
    <row r="1141">
      <c r="A1141" s="41"/>
      <c r="B1141" s="25"/>
      <c r="C1141" s="25"/>
      <c r="D1141" s="25"/>
      <c r="E1141" s="25"/>
      <c r="F1141" s="26"/>
      <c r="G1141" s="25"/>
      <c r="H1141" s="25"/>
      <c r="I1141" s="25"/>
      <c r="J1141" s="25"/>
      <c r="K1141" s="25"/>
      <c r="L1141" s="25"/>
      <c r="M1141" s="25"/>
      <c r="N1141" s="27"/>
      <c r="O1141" s="27"/>
      <c r="P1141" s="27"/>
      <c r="Q1141" s="27"/>
      <c r="R1141" s="27"/>
      <c r="S1141" s="28"/>
      <c r="T1141" s="29"/>
      <c r="U1141" s="29"/>
      <c r="V1141" s="24"/>
      <c r="W1141" s="24"/>
    </row>
    <row r="1142">
      <c r="A1142" s="41"/>
      <c r="B1142" s="25"/>
      <c r="C1142" s="25"/>
      <c r="D1142" s="25"/>
      <c r="E1142" s="25"/>
      <c r="F1142" s="26"/>
      <c r="G1142" s="25"/>
      <c r="H1142" s="25"/>
      <c r="I1142" s="25"/>
      <c r="J1142" s="25"/>
      <c r="K1142" s="25"/>
      <c r="L1142" s="25"/>
      <c r="M1142" s="25"/>
      <c r="N1142" s="27"/>
      <c r="O1142" s="27"/>
      <c r="P1142" s="27"/>
      <c r="Q1142" s="27"/>
      <c r="R1142" s="27"/>
      <c r="S1142" s="28"/>
      <c r="T1142" s="29"/>
      <c r="U1142" s="29"/>
      <c r="V1142" s="24"/>
      <c r="W1142" s="24"/>
    </row>
    <row r="1143">
      <c r="A1143" s="41"/>
      <c r="B1143" s="25"/>
      <c r="C1143" s="25"/>
      <c r="D1143" s="25"/>
      <c r="E1143" s="25"/>
      <c r="F1143" s="26"/>
      <c r="G1143" s="25"/>
      <c r="H1143" s="25"/>
      <c r="I1143" s="25"/>
      <c r="J1143" s="25"/>
      <c r="K1143" s="25"/>
      <c r="L1143" s="25"/>
      <c r="M1143" s="25"/>
      <c r="N1143" s="27"/>
      <c r="O1143" s="27"/>
      <c r="P1143" s="27"/>
      <c r="Q1143" s="27"/>
      <c r="R1143" s="27"/>
      <c r="S1143" s="28"/>
      <c r="T1143" s="29"/>
      <c r="U1143" s="29"/>
      <c r="V1143" s="24"/>
      <c r="W1143" s="24"/>
    </row>
    <row r="1144">
      <c r="A1144" s="41"/>
      <c r="B1144" s="25"/>
      <c r="C1144" s="25"/>
      <c r="D1144" s="25"/>
      <c r="E1144" s="25"/>
      <c r="F1144" s="26"/>
      <c r="G1144" s="25"/>
      <c r="H1144" s="25"/>
      <c r="I1144" s="25"/>
      <c r="J1144" s="25"/>
      <c r="K1144" s="25"/>
      <c r="L1144" s="25"/>
      <c r="M1144" s="25"/>
      <c r="N1144" s="27"/>
      <c r="O1144" s="27"/>
      <c r="P1144" s="27"/>
      <c r="Q1144" s="27"/>
      <c r="R1144" s="27"/>
      <c r="S1144" s="28"/>
      <c r="T1144" s="29"/>
      <c r="U1144" s="29"/>
      <c r="V1144" s="24"/>
      <c r="W1144" s="24"/>
    </row>
    <row r="1145">
      <c r="A1145" s="41"/>
      <c r="B1145" s="25"/>
      <c r="C1145" s="25"/>
      <c r="D1145" s="25"/>
      <c r="E1145" s="25"/>
      <c r="F1145" s="26"/>
      <c r="G1145" s="25"/>
      <c r="H1145" s="25"/>
      <c r="I1145" s="25"/>
      <c r="J1145" s="25"/>
      <c r="K1145" s="25"/>
      <c r="L1145" s="25"/>
      <c r="M1145" s="25"/>
      <c r="N1145" s="27"/>
      <c r="O1145" s="27"/>
      <c r="P1145" s="27"/>
      <c r="Q1145" s="27"/>
      <c r="R1145" s="27"/>
      <c r="S1145" s="28"/>
      <c r="T1145" s="29"/>
      <c r="U1145" s="29"/>
      <c r="V1145" s="24"/>
      <c r="W1145" s="24"/>
    </row>
    <row r="1146">
      <c r="A1146" s="41"/>
      <c r="B1146" s="25"/>
      <c r="C1146" s="25"/>
      <c r="D1146" s="25"/>
      <c r="E1146" s="25"/>
      <c r="F1146" s="26"/>
      <c r="G1146" s="25"/>
      <c r="H1146" s="25"/>
      <c r="I1146" s="25"/>
      <c r="J1146" s="25"/>
      <c r="K1146" s="25"/>
      <c r="L1146" s="25"/>
      <c r="M1146" s="25"/>
      <c r="N1146" s="27"/>
      <c r="O1146" s="27"/>
      <c r="P1146" s="27"/>
      <c r="Q1146" s="27"/>
      <c r="R1146" s="27"/>
      <c r="S1146" s="28"/>
      <c r="T1146" s="29"/>
      <c r="U1146" s="29"/>
      <c r="V1146" s="24"/>
      <c r="W1146" s="24"/>
    </row>
    <row r="1147">
      <c r="A1147" s="41"/>
      <c r="B1147" s="25"/>
      <c r="C1147" s="25"/>
      <c r="D1147" s="25"/>
      <c r="E1147" s="25"/>
      <c r="F1147" s="26"/>
      <c r="G1147" s="25"/>
      <c r="H1147" s="25"/>
      <c r="I1147" s="25"/>
      <c r="J1147" s="25"/>
      <c r="K1147" s="25"/>
      <c r="L1147" s="25"/>
      <c r="M1147" s="25"/>
      <c r="N1147" s="27"/>
      <c r="O1147" s="27"/>
      <c r="P1147" s="27"/>
      <c r="Q1147" s="27"/>
      <c r="R1147" s="27"/>
      <c r="S1147" s="28"/>
      <c r="T1147" s="29"/>
      <c r="U1147" s="29"/>
      <c r="V1147" s="24"/>
      <c r="W1147" s="24"/>
    </row>
    <row r="1148">
      <c r="A1148" s="41"/>
      <c r="B1148" s="25"/>
      <c r="C1148" s="25"/>
      <c r="D1148" s="25"/>
      <c r="E1148" s="25"/>
      <c r="F1148" s="26"/>
      <c r="G1148" s="25"/>
      <c r="H1148" s="25"/>
      <c r="I1148" s="25"/>
      <c r="J1148" s="25"/>
      <c r="K1148" s="25"/>
      <c r="L1148" s="25"/>
      <c r="M1148" s="25"/>
      <c r="N1148" s="27"/>
      <c r="O1148" s="27"/>
      <c r="P1148" s="27"/>
      <c r="Q1148" s="27"/>
      <c r="R1148" s="27"/>
      <c r="S1148" s="28"/>
      <c r="T1148" s="29"/>
      <c r="U1148" s="29"/>
      <c r="V1148" s="24"/>
      <c r="W1148" s="24"/>
    </row>
    <row r="1149">
      <c r="A1149" s="41"/>
      <c r="B1149" s="25"/>
      <c r="C1149" s="25"/>
      <c r="D1149" s="25"/>
      <c r="E1149" s="25"/>
      <c r="F1149" s="26"/>
      <c r="G1149" s="25"/>
      <c r="H1149" s="25"/>
      <c r="I1149" s="25"/>
      <c r="J1149" s="25"/>
      <c r="K1149" s="25"/>
      <c r="L1149" s="25"/>
      <c r="M1149" s="25"/>
      <c r="N1149" s="27"/>
      <c r="O1149" s="27"/>
      <c r="P1149" s="27"/>
      <c r="Q1149" s="27"/>
      <c r="R1149" s="27"/>
      <c r="S1149" s="28"/>
      <c r="T1149" s="29"/>
      <c r="U1149" s="29"/>
      <c r="V1149" s="24"/>
      <c r="W1149" s="24"/>
    </row>
    <row r="1150">
      <c r="A1150" s="41"/>
      <c r="B1150" s="25"/>
      <c r="C1150" s="25"/>
      <c r="D1150" s="25"/>
      <c r="E1150" s="25"/>
      <c r="F1150" s="26"/>
      <c r="G1150" s="25"/>
      <c r="H1150" s="25"/>
      <c r="I1150" s="25"/>
      <c r="J1150" s="25"/>
      <c r="K1150" s="25"/>
      <c r="L1150" s="25"/>
      <c r="M1150" s="25"/>
      <c r="N1150" s="27"/>
      <c r="O1150" s="27"/>
      <c r="P1150" s="27"/>
      <c r="Q1150" s="27"/>
      <c r="R1150" s="27"/>
      <c r="S1150" s="28"/>
      <c r="T1150" s="29"/>
      <c r="U1150" s="29"/>
      <c r="V1150" s="24"/>
      <c r="W1150" s="24"/>
    </row>
    <row r="1151">
      <c r="A1151" s="41"/>
      <c r="B1151" s="25"/>
      <c r="C1151" s="25"/>
      <c r="D1151" s="25"/>
      <c r="E1151" s="25"/>
      <c r="F1151" s="26"/>
      <c r="G1151" s="25"/>
      <c r="H1151" s="25"/>
      <c r="I1151" s="25"/>
      <c r="J1151" s="25"/>
      <c r="K1151" s="25"/>
      <c r="L1151" s="25"/>
      <c r="M1151" s="25"/>
      <c r="N1151" s="27"/>
      <c r="O1151" s="27"/>
      <c r="P1151" s="27"/>
      <c r="Q1151" s="27"/>
      <c r="R1151" s="27"/>
      <c r="S1151" s="28"/>
      <c r="T1151" s="29"/>
      <c r="U1151" s="29"/>
      <c r="V1151" s="24"/>
      <c r="W1151" s="24"/>
    </row>
    <row r="1152">
      <c r="A1152" s="41"/>
      <c r="B1152" s="25"/>
      <c r="C1152" s="25"/>
      <c r="D1152" s="25"/>
      <c r="E1152" s="25"/>
      <c r="F1152" s="26"/>
      <c r="G1152" s="25"/>
      <c r="H1152" s="25"/>
      <c r="I1152" s="25"/>
      <c r="J1152" s="25"/>
      <c r="K1152" s="25"/>
      <c r="L1152" s="25"/>
      <c r="M1152" s="25"/>
      <c r="N1152" s="27"/>
      <c r="O1152" s="27"/>
      <c r="P1152" s="27"/>
      <c r="Q1152" s="27"/>
      <c r="R1152" s="27"/>
      <c r="S1152" s="28"/>
      <c r="T1152" s="29"/>
      <c r="U1152" s="29"/>
      <c r="V1152" s="24"/>
      <c r="W1152" s="24"/>
    </row>
    <row r="1153">
      <c r="A1153" s="41"/>
      <c r="B1153" s="25"/>
      <c r="C1153" s="25"/>
      <c r="D1153" s="25"/>
      <c r="E1153" s="25"/>
      <c r="F1153" s="26"/>
      <c r="G1153" s="25"/>
      <c r="H1153" s="25"/>
      <c r="I1153" s="25"/>
      <c r="J1153" s="25"/>
      <c r="K1153" s="25"/>
      <c r="L1153" s="25"/>
      <c r="M1153" s="25"/>
      <c r="N1153" s="27"/>
      <c r="O1153" s="27"/>
      <c r="P1153" s="27"/>
      <c r="Q1153" s="27"/>
      <c r="R1153" s="27"/>
      <c r="S1153" s="28"/>
      <c r="T1153" s="29"/>
      <c r="U1153" s="29"/>
      <c r="V1153" s="24"/>
      <c r="W1153" s="24"/>
    </row>
    <row r="1154">
      <c r="A1154" s="41"/>
      <c r="B1154" s="25"/>
      <c r="C1154" s="25"/>
      <c r="D1154" s="25"/>
      <c r="E1154" s="25"/>
      <c r="F1154" s="26"/>
      <c r="G1154" s="25"/>
      <c r="H1154" s="25"/>
      <c r="I1154" s="25"/>
      <c r="J1154" s="25"/>
      <c r="K1154" s="25"/>
      <c r="L1154" s="25"/>
      <c r="M1154" s="25"/>
      <c r="N1154" s="27"/>
      <c r="O1154" s="27"/>
      <c r="P1154" s="27"/>
      <c r="Q1154" s="27"/>
      <c r="R1154" s="27"/>
      <c r="S1154" s="28"/>
      <c r="T1154" s="29"/>
      <c r="U1154" s="29"/>
      <c r="V1154" s="24"/>
      <c r="W1154" s="24"/>
    </row>
    <row r="1155">
      <c r="A1155" s="41"/>
      <c r="B1155" s="25"/>
      <c r="C1155" s="25"/>
      <c r="D1155" s="25"/>
      <c r="E1155" s="25"/>
      <c r="F1155" s="26"/>
      <c r="G1155" s="25"/>
      <c r="H1155" s="25"/>
      <c r="I1155" s="25"/>
      <c r="J1155" s="25"/>
      <c r="K1155" s="25"/>
      <c r="L1155" s="25"/>
      <c r="M1155" s="25"/>
      <c r="N1155" s="27"/>
      <c r="O1155" s="27"/>
      <c r="P1155" s="27"/>
      <c r="Q1155" s="27"/>
      <c r="R1155" s="27"/>
      <c r="S1155" s="28"/>
      <c r="T1155" s="29"/>
      <c r="U1155" s="29"/>
      <c r="V1155" s="24"/>
      <c r="W1155" s="24"/>
    </row>
    <row r="1156">
      <c r="A1156" s="41"/>
      <c r="B1156" s="25"/>
      <c r="C1156" s="25"/>
      <c r="D1156" s="25"/>
      <c r="E1156" s="25"/>
      <c r="F1156" s="26"/>
      <c r="G1156" s="25"/>
      <c r="H1156" s="25"/>
      <c r="I1156" s="25"/>
      <c r="J1156" s="25"/>
      <c r="K1156" s="25"/>
      <c r="L1156" s="25"/>
      <c r="M1156" s="25"/>
      <c r="N1156" s="27"/>
      <c r="O1156" s="27"/>
      <c r="P1156" s="27"/>
      <c r="Q1156" s="27"/>
      <c r="R1156" s="27"/>
      <c r="S1156" s="28"/>
      <c r="T1156" s="29"/>
      <c r="U1156" s="29"/>
      <c r="V1156" s="24"/>
      <c r="W1156" s="24"/>
    </row>
    <row r="1157">
      <c r="A1157" s="41"/>
      <c r="B1157" s="25"/>
      <c r="C1157" s="25"/>
      <c r="D1157" s="25"/>
      <c r="E1157" s="25"/>
      <c r="F1157" s="26"/>
      <c r="G1157" s="25"/>
      <c r="H1157" s="25"/>
      <c r="I1157" s="25"/>
      <c r="J1157" s="25"/>
      <c r="K1157" s="25"/>
      <c r="L1157" s="25"/>
      <c r="M1157" s="25"/>
      <c r="N1157" s="27"/>
      <c r="O1157" s="27"/>
      <c r="P1157" s="27"/>
      <c r="Q1157" s="27"/>
      <c r="R1157" s="27"/>
      <c r="S1157" s="28"/>
      <c r="T1157" s="29"/>
      <c r="U1157" s="29"/>
      <c r="V1157" s="24"/>
      <c r="W1157" s="24"/>
    </row>
    <row r="1158">
      <c r="A1158" s="41"/>
      <c r="B1158" s="25"/>
      <c r="C1158" s="25"/>
      <c r="D1158" s="25"/>
      <c r="E1158" s="25"/>
      <c r="F1158" s="26"/>
      <c r="G1158" s="25"/>
      <c r="H1158" s="25"/>
      <c r="I1158" s="25"/>
      <c r="J1158" s="25"/>
      <c r="K1158" s="25"/>
      <c r="L1158" s="25"/>
      <c r="M1158" s="25"/>
      <c r="N1158" s="27"/>
      <c r="O1158" s="27"/>
      <c r="P1158" s="27"/>
      <c r="Q1158" s="27"/>
      <c r="R1158" s="27"/>
      <c r="S1158" s="28"/>
      <c r="T1158" s="29"/>
      <c r="U1158" s="29"/>
      <c r="V1158" s="24"/>
      <c r="W1158" s="24"/>
    </row>
    <row r="1159">
      <c r="A1159" s="41"/>
      <c r="B1159" s="25"/>
      <c r="C1159" s="25"/>
      <c r="D1159" s="25"/>
      <c r="E1159" s="25"/>
      <c r="F1159" s="26"/>
      <c r="G1159" s="25"/>
      <c r="H1159" s="25"/>
      <c r="I1159" s="25"/>
      <c r="J1159" s="25"/>
      <c r="K1159" s="25"/>
      <c r="L1159" s="25"/>
      <c r="M1159" s="25"/>
      <c r="N1159" s="27"/>
      <c r="O1159" s="27"/>
      <c r="P1159" s="27"/>
      <c r="Q1159" s="27"/>
      <c r="R1159" s="27"/>
      <c r="S1159" s="28"/>
      <c r="T1159" s="29"/>
      <c r="U1159" s="29"/>
      <c r="V1159" s="24"/>
      <c r="W1159" s="24"/>
    </row>
    <row r="1160">
      <c r="A1160" s="41"/>
      <c r="B1160" s="25"/>
      <c r="C1160" s="25"/>
      <c r="D1160" s="25"/>
      <c r="E1160" s="25"/>
      <c r="F1160" s="26"/>
      <c r="G1160" s="25"/>
      <c r="H1160" s="25"/>
      <c r="I1160" s="25"/>
      <c r="J1160" s="25"/>
      <c r="K1160" s="25"/>
      <c r="L1160" s="25"/>
      <c r="M1160" s="25"/>
      <c r="N1160" s="27"/>
      <c r="O1160" s="27"/>
      <c r="P1160" s="27"/>
      <c r="Q1160" s="27"/>
      <c r="R1160" s="27"/>
      <c r="S1160" s="28"/>
      <c r="T1160" s="29"/>
      <c r="U1160" s="29"/>
      <c r="V1160" s="24"/>
      <c r="W1160" s="24"/>
    </row>
    <row r="1161">
      <c r="A1161" s="41"/>
      <c r="B1161" s="25"/>
      <c r="C1161" s="25"/>
      <c r="D1161" s="25"/>
      <c r="E1161" s="25"/>
      <c r="F1161" s="26"/>
      <c r="G1161" s="25"/>
      <c r="H1161" s="25"/>
      <c r="I1161" s="25"/>
      <c r="J1161" s="25"/>
      <c r="K1161" s="25"/>
      <c r="L1161" s="25"/>
      <c r="M1161" s="25"/>
      <c r="N1161" s="27"/>
      <c r="O1161" s="27"/>
      <c r="P1161" s="27"/>
      <c r="Q1161" s="27"/>
      <c r="R1161" s="27"/>
      <c r="S1161" s="28"/>
      <c r="T1161" s="29"/>
      <c r="U1161" s="29"/>
      <c r="V1161" s="24"/>
      <c r="W1161" s="24"/>
    </row>
    <row r="1162">
      <c r="A1162" s="41"/>
      <c r="B1162" s="25"/>
      <c r="C1162" s="25"/>
      <c r="D1162" s="25"/>
      <c r="E1162" s="25"/>
      <c r="F1162" s="26"/>
      <c r="G1162" s="25"/>
      <c r="H1162" s="25"/>
      <c r="I1162" s="25"/>
      <c r="J1162" s="25"/>
      <c r="K1162" s="25"/>
      <c r="L1162" s="25"/>
      <c r="M1162" s="25"/>
      <c r="N1162" s="27"/>
      <c r="O1162" s="27"/>
      <c r="P1162" s="27"/>
      <c r="Q1162" s="27"/>
      <c r="R1162" s="27"/>
      <c r="S1162" s="28"/>
      <c r="T1162" s="29"/>
      <c r="U1162" s="29"/>
      <c r="V1162" s="24"/>
      <c r="W1162" s="24"/>
    </row>
    <row r="1163">
      <c r="A1163" s="41"/>
      <c r="B1163" s="25"/>
      <c r="C1163" s="25"/>
      <c r="D1163" s="25"/>
      <c r="E1163" s="25"/>
      <c r="F1163" s="26"/>
      <c r="G1163" s="25"/>
      <c r="H1163" s="25"/>
      <c r="I1163" s="25"/>
      <c r="J1163" s="25"/>
      <c r="K1163" s="25"/>
      <c r="L1163" s="25"/>
      <c r="M1163" s="25"/>
      <c r="N1163" s="27"/>
      <c r="O1163" s="27"/>
      <c r="P1163" s="27"/>
      <c r="Q1163" s="27"/>
      <c r="R1163" s="27"/>
      <c r="S1163" s="28"/>
      <c r="T1163" s="29"/>
      <c r="U1163" s="29"/>
      <c r="V1163" s="24"/>
      <c r="W1163" s="24"/>
    </row>
    <row r="1164">
      <c r="A1164" s="41"/>
      <c r="B1164" s="25"/>
      <c r="C1164" s="25"/>
      <c r="D1164" s="25"/>
      <c r="E1164" s="25"/>
      <c r="F1164" s="26"/>
      <c r="G1164" s="25"/>
      <c r="H1164" s="25"/>
      <c r="I1164" s="25"/>
      <c r="J1164" s="25"/>
      <c r="K1164" s="25"/>
      <c r="L1164" s="25"/>
      <c r="M1164" s="25"/>
      <c r="N1164" s="27"/>
      <c r="O1164" s="27"/>
      <c r="P1164" s="27"/>
      <c r="Q1164" s="27"/>
      <c r="R1164" s="27"/>
      <c r="S1164" s="28"/>
      <c r="T1164" s="29"/>
      <c r="U1164" s="29"/>
      <c r="V1164" s="24"/>
      <c r="W1164" s="24"/>
    </row>
    <row r="1165">
      <c r="A1165" s="41"/>
      <c r="B1165" s="25"/>
      <c r="C1165" s="25"/>
      <c r="D1165" s="25"/>
      <c r="E1165" s="25"/>
      <c r="F1165" s="26"/>
      <c r="G1165" s="25"/>
      <c r="H1165" s="25"/>
      <c r="I1165" s="25"/>
      <c r="J1165" s="25"/>
      <c r="K1165" s="25"/>
      <c r="L1165" s="25"/>
      <c r="M1165" s="25"/>
      <c r="N1165" s="27"/>
      <c r="O1165" s="27"/>
      <c r="P1165" s="27"/>
      <c r="Q1165" s="27"/>
      <c r="R1165" s="27"/>
      <c r="S1165" s="28"/>
      <c r="T1165" s="29"/>
      <c r="U1165" s="29"/>
      <c r="V1165" s="24"/>
      <c r="W1165" s="24"/>
    </row>
    <row r="1166">
      <c r="A1166" s="41"/>
      <c r="B1166" s="25"/>
      <c r="C1166" s="25"/>
      <c r="D1166" s="25"/>
      <c r="E1166" s="25"/>
      <c r="F1166" s="26"/>
      <c r="G1166" s="25"/>
      <c r="H1166" s="25"/>
      <c r="I1166" s="25"/>
      <c r="J1166" s="25"/>
      <c r="K1166" s="25"/>
      <c r="L1166" s="25"/>
      <c r="M1166" s="25"/>
      <c r="N1166" s="27"/>
      <c r="O1166" s="27"/>
      <c r="P1166" s="27"/>
      <c r="Q1166" s="27"/>
      <c r="R1166" s="27"/>
      <c r="S1166" s="28"/>
      <c r="T1166" s="29"/>
      <c r="U1166" s="29"/>
      <c r="V1166" s="24"/>
      <c r="W1166" s="24"/>
    </row>
    <row r="1167">
      <c r="A1167" s="41"/>
      <c r="B1167" s="25"/>
      <c r="C1167" s="25"/>
      <c r="D1167" s="25"/>
      <c r="E1167" s="25"/>
      <c r="F1167" s="26"/>
      <c r="G1167" s="25"/>
      <c r="H1167" s="25"/>
      <c r="I1167" s="25"/>
      <c r="J1167" s="25"/>
      <c r="K1167" s="25"/>
      <c r="L1167" s="25"/>
      <c r="M1167" s="25"/>
      <c r="N1167" s="27"/>
      <c r="O1167" s="27"/>
      <c r="P1167" s="27"/>
      <c r="Q1167" s="27"/>
      <c r="R1167" s="27"/>
      <c r="S1167" s="28"/>
      <c r="T1167" s="29"/>
      <c r="U1167" s="29"/>
      <c r="V1167" s="24"/>
      <c r="W1167" s="24"/>
    </row>
    <row r="1168">
      <c r="A1168" s="41"/>
      <c r="B1168" s="25"/>
      <c r="C1168" s="25"/>
      <c r="D1168" s="25"/>
      <c r="E1168" s="25"/>
      <c r="F1168" s="26"/>
      <c r="G1168" s="25"/>
      <c r="H1168" s="25"/>
      <c r="I1168" s="25"/>
      <c r="J1168" s="25"/>
      <c r="K1168" s="25"/>
      <c r="L1168" s="25"/>
      <c r="M1168" s="25"/>
      <c r="N1168" s="27"/>
      <c r="O1168" s="27"/>
      <c r="P1168" s="27"/>
      <c r="Q1168" s="27"/>
      <c r="R1168" s="27"/>
      <c r="S1168" s="28"/>
      <c r="T1168" s="29"/>
      <c r="U1168" s="29"/>
      <c r="V1168" s="24"/>
      <c r="W1168" s="24"/>
    </row>
    <row r="1169">
      <c r="A1169" s="41"/>
      <c r="B1169" s="25"/>
      <c r="C1169" s="25"/>
      <c r="D1169" s="25"/>
      <c r="E1169" s="25"/>
      <c r="F1169" s="26"/>
      <c r="G1169" s="25"/>
      <c r="H1169" s="25"/>
      <c r="I1169" s="25"/>
      <c r="J1169" s="25"/>
      <c r="K1169" s="25"/>
      <c r="L1169" s="25"/>
      <c r="M1169" s="25"/>
      <c r="N1169" s="27"/>
      <c r="O1169" s="27"/>
      <c r="P1169" s="27"/>
      <c r="Q1169" s="27"/>
      <c r="R1169" s="27"/>
      <c r="S1169" s="28"/>
      <c r="T1169" s="29"/>
      <c r="U1169" s="29"/>
      <c r="V1169" s="24"/>
      <c r="W1169" s="24"/>
    </row>
    <row r="1170">
      <c r="A1170" s="41"/>
      <c r="B1170" s="25"/>
      <c r="C1170" s="25"/>
      <c r="D1170" s="25"/>
      <c r="E1170" s="25"/>
      <c r="F1170" s="26"/>
      <c r="G1170" s="25"/>
      <c r="H1170" s="25"/>
      <c r="I1170" s="25"/>
      <c r="J1170" s="25"/>
      <c r="K1170" s="25"/>
      <c r="L1170" s="25"/>
      <c r="M1170" s="25"/>
      <c r="N1170" s="27"/>
      <c r="O1170" s="27"/>
      <c r="P1170" s="27"/>
      <c r="Q1170" s="27"/>
      <c r="R1170" s="27"/>
      <c r="S1170" s="28"/>
      <c r="T1170" s="29"/>
      <c r="U1170" s="29"/>
      <c r="V1170" s="24"/>
      <c r="W1170" s="24"/>
    </row>
    <row r="1171">
      <c r="A1171" s="41"/>
      <c r="B1171" s="25"/>
      <c r="C1171" s="25"/>
      <c r="D1171" s="25"/>
      <c r="E1171" s="25"/>
      <c r="F1171" s="26"/>
      <c r="G1171" s="25"/>
      <c r="H1171" s="25"/>
      <c r="I1171" s="25"/>
      <c r="J1171" s="25"/>
      <c r="K1171" s="25"/>
      <c r="L1171" s="25"/>
      <c r="M1171" s="25"/>
      <c r="N1171" s="27"/>
      <c r="O1171" s="27"/>
      <c r="P1171" s="27"/>
      <c r="Q1171" s="27"/>
      <c r="R1171" s="27"/>
      <c r="S1171" s="28"/>
      <c r="T1171" s="29"/>
      <c r="U1171" s="29"/>
      <c r="V1171" s="24"/>
      <c r="W1171" s="24"/>
    </row>
    <row r="1172">
      <c r="A1172" s="41"/>
      <c r="B1172" s="25"/>
      <c r="C1172" s="25"/>
      <c r="D1172" s="25"/>
      <c r="E1172" s="25"/>
      <c r="F1172" s="26"/>
      <c r="G1172" s="25"/>
      <c r="H1172" s="25"/>
      <c r="I1172" s="25"/>
      <c r="J1172" s="25"/>
      <c r="K1172" s="25"/>
      <c r="L1172" s="25"/>
      <c r="M1172" s="25"/>
      <c r="N1172" s="27"/>
      <c r="O1172" s="27"/>
      <c r="P1172" s="27"/>
      <c r="Q1172" s="27"/>
      <c r="R1172" s="27"/>
      <c r="S1172" s="28"/>
      <c r="T1172" s="29"/>
      <c r="U1172" s="29"/>
      <c r="V1172" s="24"/>
      <c r="W1172" s="24"/>
    </row>
    <row r="1173">
      <c r="A1173" s="41"/>
      <c r="B1173" s="25"/>
      <c r="C1173" s="25"/>
      <c r="D1173" s="25"/>
      <c r="E1173" s="25"/>
      <c r="F1173" s="26"/>
      <c r="G1173" s="25"/>
      <c r="H1173" s="25"/>
      <c r="I1173" s="25"/>
      <c r="J1173" s="25"/>
      <c r="K1173" s="25"/>
      <c r="L1173" s="25"/>
      <c r="M1173" s="25"/>
      <c r="N1173" s="27"/>
      <c r="O1173" s="27"/>
      <c r="P1173" s="27"/>
      <c r="Q1173" s="27"/>
      <c r="R1173" s="27"/>
      <c r="S1173" s="28"/>
      <c r="T1173" s="29"/>
      <c r="U1173" s="29"/>
      <c r="V1173" s="24"/>
      <c r="W1173" s="24"/>
    </row>
    <row r="1174">
      <c r="A1174" s="41"/>
      <c r="B1174" s="25"/>
      <c r="C1174" s="25"/>
      <c r="D1174" s="25"/>
      <c r="E1174" s="25"/>
      <c r="F1174" s="26"/>
      <c r="G1174" s="25"/>
      <c r="H1174" s="25"/>
      <c r="I1174" s="25"/>
      <c r="J1174" s="25"/>
      <c r="K1174" s="25"/>
      <c r="L1174" s="25"/>
      <c r="M1174" s="25"/>
      <c r="N1174" s="27"/>
      <c r="O1174" s="27"/>
      <c r="P1174" s="27"/>
      <c r="Q1174" s="27"/>
      <c r="R1174" s="27"/>
      <c r="S1174" s="28"/>
      <c r="T1174" s="29"/>
      <c r="U1174" s="29"/>
      <c r="V1174" s="24"/>
      <c r="W1174" s="24"/>
    </row>
    <row r="1175">
      <c r="A1175" s="41"/>
      <c r="B1175" s="25"/>
      <c r="C1175" s="25"/>
      <c r="D1175" s="25"/>
      <c r="E1175" s="25"/>
      <c r="F1175" s="26"/>
      <c r="G1175" s="25"/>
      <c r="H1175" s="25"/>
      <c r="I1175" s="25"/>
      <c r="J1175" s="25"/>
      <c r="K1175" s="25"/>
      <c r="L1175" s="25"/>
      <c r="M1175" s="25"/>
      <c r="N1175" s="27"/>
      <c r="O1175" s="27"/>
      <c r="P1175" s="27"/>
      <c r="Q1175" s="27"/>
      <c r="R1175" s="27"/>
      <c r="S1175" s="28"/>
      <c r="T1175" s="29"/>
      <c r="U1175" s="29"/>
      <c r="V1175" s="24"/>
      <c r="W1175" s="24"/>
    </row>
    <row r="1176">
      <c r="A1176" s="41"/>
      <c r="B1176" s="25"/>
      <c r="C1176" s="25"/>
      <c r="D1176" s="25"/>
      <c r="E1176" s="25"/>
      <c r="F1176" s="26"/>
      <c r="G1176" s="25"/>
      <c r="H1176" s="25"/>
      <c r="I1176" s="25"/>
      <c r="J1176" s="25"/>
      <c r="K1176" s="25"/>
      <c r="L1176" s="25"/>
      <c r="M1176" s="25"/>
      <c r="N1176" s="27"/>
      <c r="O1176" s="27"/>
      <c r="P1176" s="27"/>
      <c r="Q1176" s="27"/>
      <c r="R1176" s="27"/>
      <c r="S1176" s="28"/>
      <c r="T1176" s="29"/>
      <c r="U1176" s="29"/>
      <c r="V1176" s="24"/>
      <c r="W1176" s="24"/>
    </row>
    <row r="1177">
      <c r="A1177" s="41"/>
      <c r="B1177" s="25"/>
      <c r="C1177" s="25"/>
      <c r="D1177" s="25"/>
      <c r="E1177" s="25"/>
      <c r="F1177" s="26"/>
      <c r="G1177" s="25"/>
      <c r="H1177" s="25"/>
      <c r="I1177" s="25"/>
      <c r="J1177" s="25"/>
      <c r="K1177" s="25"/>
      <c r="L1177" s="25"/>
      <c r="M1177" s="25"/>
      <c r="N1177" s="27"/>
      <c r="O1177" s="27"/>
      <c r="P1177" s="27"/>
      <c r="Q1177" s="27"/>
      <c r="R1177" s="27"/>
      <c r="S1177" s="28"/>
      <c r="T1177" s="29"/>
      <c r="U1177" s="29"/>
      <c r="V1177" s="24"/>
      <c r="W1177" s="24"/>
    </row>
    <row r="1178">
      <c r="A1178" s="41"/>
      <c r="B1178" s="25"/>
      <c r="C1178" s="25"/>
      <c r="D1178" s="25"/>
      <c r="E1178" s="25"/>
      <c r="F1178" s="26"/>
      <c r="G1178" s="25"/>
      <c r="H1178" s="25"/>
      <c r="I1178" s="25"/>
      <c r="J1178" s="25"/>
      <c r="K1178" s="25"/>
      <c r="L1178" s="25"/>
      <c r="M1178" s="25"/>
      <c r="N1178" s="27"/>
      <c r="O1178" s="27"/>
      <c r="P1178" s="27"/>
      <c r="Q1178" s="27"/>
      <c r="R1178" s="27"/>
      <c r="S1178" s="28"/>
      <c r="T1178" s="29"/>
      <c r="U1178" s="29"/>
      <c r="V1178" s="24"/>
      <c r="W1178" s="24"/>
    </row>
    <row r="1179">
      <c r="A1179" s="41"/>
      <c r="B1179" s="25"/>
      <c r="C1179" s="25"/>
      <c r="D1179" s="25"/>
      <c r="E1179" s="25"/>
      <c r="F1179" s="26"/>
      <c r="G1179" s="25"/>
      <c r="H1179" s="25"/>
      <c r="I1179" s="25"/>
      <c r="J1179" s="25"/>
      <c r="K1179" s="25"/>
      <c r="L1179" s="25"/>
      <c r="M1179" s="25"/>
      <c r="N1179" s="27"/>
      <c r="O1179" s="27"/>
      <c r="P1179" s="27"/>
      <c r="Q1179" s="27"/>
      <c r="R1179" s="27"/>
      <c r="S1179" s="28"/>
      <c r="T1179" s="29"/>
      <c r="U1179" s="29"/>
      <c r="V1179" s="24"/>
      <c r="W1179" s="24"/>
    </row>
    <row r="1180">
      <c r="A1180" s="41"/>
      <c r="B1180" s="25"/>
      <c r="C1180" s="25"/>
      <c r="D1180" s="25"/>
      <c r="E1180" s="25"/>
      <c r="F1180" s="26"/>
      <c r="G1180" s="25"/>
      <c r="H1180" s="25"/>
      <c r="I1180" s="25"/>
      <c r="J1180" s="25"/>
      <c r="K1180" s="25"/>
      <c r="L1180" s="25"/>
      <c r="M1180" s="25"/>
      <c r="N1180" s="27"/>
      <c r="O1180" s="27"/>
      <c r="P1180" s="27"/>
      <c r="Q1180" s="27"/>
      <c r="R1180" s="27"/>
      <c r="S1180" s="28"/>
      <c r="T1180" s="29"/>
      <c r="U1180" s="29"/>
      <c r="V1180" s="24"/>
      <c r="W1180" s="24"/>
    </row>
    <row r="1181">
      <c r="A1181" s="41"/>
      <c r="B1181" s="25"/>
      <c r="C1181" s="25"/>
      <c r="D1181" s="25"/>
      <c r="E1181" s="25"/>
      <c r="F1181" s="26"/>
      <c r="G1181" s="25"/>
      <c r="H1181" s="25"/>
      <c r="I1181" s="25"/>
      <c r="J1181" s="25"/>
      <c r="K1181" s="25"/>
      <c r="L1181" s="25"/>
      <c r="M1181" s="25"/>
      <c r="N1181" s="27"/>
      <c r="O1181" s="27"/>
      <c r="P1181" s="27"/>
      <c r="Q1181" s="27"/>
      <c r="R1181" s="27"/>
      <c r="S1181" s="28"/>
      <c r="T1181" s="29"/>
      <c r="U1181" s="29"/>
      <c r="V1181" s="24"/>
      <c r="W1181" s="24"/>
    </row>
    <row r="1182">
      <c r="A1182" s="41"/>
      <c r="B1182" s="25"/>
      <c r="C1182" s="25"/>
      <c r="D1182" s="25"/>
      <c r="E1182" s="25"/>
      <c r="F1182" s="26"/>
      <c r="G1182" s="25"/>
      <c r="H1182" s="25"/>
      <c r="I1182" s="25"/>
      <c r="J1182" s="25"/>
      <c r="K1182" s="25"/>
      <c r="L1182" s="25"/>
      <c r="M1182" s="25"/>
      <c r="N1182" s="27"/>
      <c r="O1182" s="27"/>
      <c r="P1182" s="27"/>
      <c r="Q1182" s="27"/>
      <c r="R1182" s="27"/>
      <c r="S1182" s="28"/>
      <c r="T1182" s="29"/>
      <c r="U1182" s="29"/>
      <c r="V1182" s="24"/>
      <c r="W1182" s="24"/>
    </row>
    <row r="1183">
      <c r="A1183" s="41"/>
      <c r="B1183" s="25"/>
      <c r="C1183" s="25"/>
      <c r="D1183" s="25"/>
      <c r="E1183" s="25"/>
      <c r="F1183" s="26"/>
      <c r="G1183" s="25"/>
      <c r="H1183" s="25"/>
      <c r="I1183" s="25"/>
      <c r="J1183" s="25"/>
      <c r="K1183" s="25"/>
      <c r="L1183" s="25"/>
      <c r="M1183" s="25"/>
      <c r="N1183" s="27"/>
      <c r="O1183" s="27"/>
      <c r="P1183" s="27"/>
      <c r="Q1183" s="27"/>
      <c r="R1183" s="27"/>
      <c r="S1183" s="28"/>
      <c r="T1183" s="29"/>
      <c r="U1183" s="29"/>
      <c r="V1183" s="24"/>
      <c r="W1183" s="24"/>
    </row>
    <row r="1184">
      <c r="A1184" s="41"/>
      <c r="B1184" s="25"/>
      <c r="C1184" s="25"/>
      <c r="D1184" s="25"/>
      <c r="E1184" s="25"/>
      <c r="F1184" s="26"/>
      <c r="G1184" s="25"/>
      <c r="H1184" s="25"/>
      <c r="I1184" s="25"/>
      <c r="J1184" s="25"/>
      <c r="K1184" s="25"/>
      <c r="L1184" s="25"/>
      <c r="M1184" s="25"/>
      <c r="N1184" s="27"/>
      <c r="O1184" s="27"/>
      <c r="P1184" s="27"/>
      <c r="Q1184" s="27"/>
      <c r="R1184" s="27"/>
      <c r="S1184" s="28"/>
      <c r="T1184" s="29"/>
      <c r="U1184" s="29"/>
      <c r="V1184" s="24"/>
      <c r="W1184" s="24"/>
    </row>
    <row r="1185">
      <c r="A1185" s="41"/>
      <c r="B1185" s="25"/>
      <c r="C1185" s="25"/>
      <c r="D1185" s="25"/>
      <c r="E1185" s="25"/>
      <c r="F1185" s="26"/>
      <c r="G1185" s="25"/>
      <c r="H1185" s="25"/>
      <c r="I1185" s="25"/>
      <c r="J1185" s="25"/>
      <c r="K1185" s="25"/>
      <c r="L1185" s="25"/>
      <c r="M1185" s="25"/>
      <c r="N1185" s="27"/>
      <c r="O1185" s="27"/>
      <c r="P1185" s="27"/>
      <c r="Q1185" s="27"/>
      <c r="R1185" s="27"/>
      <c r="S1185" s="28"/>
      <c r="T1185" s="29"/>
      <c r="U1185" s="29"/>
      <c r="V1185" s="24"/>
      <c r="W1185" s="24"/>
    </row>
    <row r="1186">
      <c r="A1186" s="41"/>
      <c r="B1186" s="25"/>
      <c r="C1186" s="25"/>
      <c r="D1186" s="25"/>
      <c r="E1186" s="25"/>
      <c r="F1186" s="26"/>
      <c r="G1186" s="25"/>
      <c r="H1186" s="25"/>
      <c r="I1186" s="25"/>
      <c r="J1186" s="25"/>
      <c r="K1186" s="25"/>
      <c r="L1186" s="25"/>
      <c r="M1186" s="25"/>
      <c r="N1186" s="27"/>
      <c r="O1186" s="27"/>
      <c r="P1186" s="27"/>
      <c r="Q1186" s="27"/>
      <c r="R1186" s="27"/>
      <c r="S1186" s="28"/>
      <c r="T1186" s="29"/>
      <c r="U1186" s="29"/>
      <c r="V1186" s="24"/>
      <c r="W1186" s="24"/>
    </row>
    <row r="1187">
      <c r="A1187" s="41"/>
      <c r="B1187" s="25"/>
      <c r="C1187" s="25"/>
      <c r="D1187" s="25"/>
      <c r="E1187" s="25"/>
      <c r="F1187" s="26"/>
      <c r="G1187" s="25"/>
      <c r="H1187" s="25"/>
      <c r="I1187" s="25"/>
      <c r="J1187" s="25"/>
      <c r="K1187" s="25"/>
      <c r="L1187" s="25"/>
      <c r="M1187" s="25"/>
      <c r="N1187" s="27"/>
      <c r="O1187" s="27"/>
      <c r="P1187" s="27"/>
      <c r="Q1187" s="27"/>
      <c r="R1187" s="27"/>
      <c r="S1187" s="28"/>
      <c r="T1187" s="29"/>
      <c r="U1187" s="29"/>
      <c r="V1187" s="24"/>
      <c r="W1187" s="24"/>
    </row>
    <row r="1188">
      <c r="A1188" s="41"/>
      <c r="B1188" s="25"/>
      <c r="C1188" s="25"/>
      <c r="D1188" s="25"/>
      <c r="E1188" s="25"/>
      <c r="F1188" s="26"/>
      <c r="G1188" s="25"/>
      <c r="H1188" s="25"/>
      <c r="I1188" s="25"/>
      <c r="J1188" s="25"/>
      <c r="K1188" s="25"/>
      <c r="L1188" s="25"/>
      <c r="M1188" s="25"/>
      <c r="N1188" s="27"/>
      <c r="O1188" s="27"/>
      <c r="P1188" s="27"/>
      <c r="Q1188" s="27"/>
      <c r="R1188" s="27"/>
      <c r="S1188" s="28"/>
      <c r="T1188" s="29"/>
      <c r="U1188" s="29"/>
      <c r="V1188" s="24"/>
      <c r="W1188" s="24"/>
    </row>
    <row r="1189">
      <c r="A1189" s="41"/>
      <c r="B1189" s="25"/>
      <c r="C1189" s="25"/>
      <c r="D1189" s="25"/>
      <c r="E1189" s="25"/>
      <c r="F1189" s="26"/>
      <c r="G1189" s="25"/>
      <c r="H1189" s="25"/>
      <c r="I1189" s="25"/>
      <c r="J1189" s="25"/>
      <c r="K1189" s="25"/>
      <c r="L1189" s="25"/>
      <c r="M1189" s="25"/>
      <c r="N1189" s="27"/>
      <c r="O1189" s="27"/>
      <c r="P1189" s="27"/>
      <c r="Q1189" s="27"/>
      <c r="R1189" s="27"/>
      <c r="S1189" s="28"/>
      <c r="T1189" s="29"/>
      <c r="U1189" s="29"/>
      <c r="V1189" s="24"/>
      <c r="W1189" s="24"/>
    </row>
    <row r="1190">
      <c r="A1190" s="41"/>
      <c r="B1190" s="25"/>
      <c r="C1190" s="25"/>
      <c r="D1190" s="25"/>
      <c r="E1190" s="25"/>
      <c r="F1190" s="26"/>
      <c r="G1190" s="25"/>
      <c r="H1190" s="25"/>
      <c r="I1190" s="25"/>
      <c r="J1190" s="25"/>
      <c r="K1190" s="25"/>
      <c r="L1190" s="25"/>
      <c r="M1190" s="25"/>
      <c r="N1190" s="27"/>
      <c r="O1190" s="27"/>
      <c r="P1190" s="27"/>
      <c r="Q1190" s="27"/>
      <c r="R1190" s="27"/>
      <c r="S1190" s="28"/>
      <c r="T1190" s="29"/>
      <c r="U1190" s="29"/>
      <c r="V1190" s="24"/>
      <c r="W1190" s="24"/>
    </row>
    <row r="1191">
      <c r="A1191" s="41"/>
      <c r="B1191" s="25"/>
      <c r="C1191" s="25"/>
      <c r="D1191" s="25"/>
      <c r="E1191" s="25"/>
      <c r="F1191" s="26"/>
      <c r="G1191" s="25"/>
      <c r="H1191" s="25"/>
      <c r="I1191" s="25"/>
      <c r="J1191" s="25"/>
      <c r="K1191" s="25"/>
      <c r="L1191" s="25"/>
      <c r="M1191" s="25"/>
      <c r="N1191" s="27"/>
      <c r="O1191" s="27"/>
      <c r="P1191" s="27"/>
      <c r="Q1191" s="27"/>
      <c r="R1191" s="27"/>
      <c r="S1191" s="28"/>
      <c r="T1191" s="29"/>
      <c r="U1191" s="29"/>
      <c r="V1191" s="24"/>
      <c r="W1191" s="24"/>
    </row>
    <row r="1192">
      <c r="A1192" s="41"/>
      <c r="B1192" s="25"/>
      <c r="C1192" s="25"/>
      <c r="D1192" s="25"/>
      <c r="E1192" s="25"/>
      <c r="F1192" s="26"/>
      <c r="G1192" s="25"/>
      <c r="H1192" s="25"/>
      <c r="I1192" s="25"/>
      <c r="J1192" s="25"/>
      <c r="K1192" s="25"/>
      <c r="L1192" s="25"/>
      <c r="M1192" s="25"/>
      <c r="N1192" s="27"/>
      <c r="O1192" s="27"/>
      <c r="P1192" s="27"/>
      <c r="Q1192" s="27"/>
      <c r="R1192" s="27"/>
      <c r="S1192" s="28"/>
      <c r="T1192" s="29"/>
      <c r="U1192" s="29"/>
      <c r="V1192" s="24"/>
      <c r="W1192" s="24"/>
    </row>
    <row r="1193">
      <c r="A1193" s="41"/>
      <c r="B1193" s="25"/>
      <c r="C1193" s="25"/>
      <c r="D1193" s="25"/>
      <c r="E1193" s="25"/>
      <c r="F1193" s="26"/>
      <c r="G1193" s="25"/>
      <c r="H1193" s="25"/>
      <c r="I1193" s="25"/>
      <c r="J1193" s="25"/>
      <c r="K1193" s="25"/>
      <c r="L1193" s="25"/>
      <c r="M1193" s="25"/>
      <c r="N1193" s="27"/>
      <c r="O1193" s="27"/>
      <c r="P1193" s="27"/>
      <c r="Q1193" s="27"/>
      <c r="R1193" s="27"/>
      <c r="S1193" s="28"/>
      <c r="T1193" s="29"/>
      <c r="U1193" s="29"/>
      <c r="V1193" s="24"/>
      <c r="W1193" s="24"/>
    </row>
    <row r="1194">
      <c r="A1194" s="41"/>
      <c r="B1194" s="25"/>
      <c r="C1194" s="25"/>
      <c r="D1194" s="25"/>
      <c r="E1194" s="25"/>
      <c r="F1194" s="26"/>
      <c r="G1194" s="25"/>
      <c r="H1194" s="25"/>
      <c r="I1194" s="25"/>
      <c r="J1194" s="25"/>
      <c r="K1194" s="25"/>
      <c r="L1194" s="25"/>
      <c r="M1194" s="25"/>
      <c r="N1194" s="27"/>
      <c r="O1194" s="27"/>
      <c r="P1194" s="27"/>
      <c r="Q1194" s="27"/>
      <c r="R1194" s="27"/>
      <c r="S1194" s="28"/>
      <c r="T1194" s="29"/>
      <c r="U1194" s="29"/>
      <c r="V1194" s="24"/>
      <c r="W1194" s="24"/>
    </row>
    <row r="1195">
      <c r="A1195" s="41"/>
      <c r="B1195" s="25"/>
      <c r="C1195" s="25"/>
      <c r="D1195" s="25"/>
      <c r="E1195" s="25"/>
      <c r="F1195" s="26"/>
      <c r="G1195" s="25"/>
      <c r="H1195" s="25"/>
      <c r="I1195" s="25"/>
      <c r="J1195" s="25"/>
      <c r="K1195" s="25"/>
      <c r="L1195" s="25"/>
      <c r="M1195" s="25"/>
      <c r="N1195" s="27"/>
      <c r="O1195" s="27"/>
      <c r="P1195" s="27"/>
      <c r="Q1195" s="27"/>
      <c r="R1195" s="27"/>
      <c r="S1195" s="28"/>
      <c r="T1195" s="29"/>
      <c r="U1195" s="29"/>
      <c r="V1195" s="24"/>
      <c r="W1195" s="24"/>
    </row>
    <row r="1196">
      <c r="A1196" s="41"/>
      <c r="B1196" s="25"/>
      <c r="C1196" s="25"/>
      <c r="D1196" s="25"/>
      <c r="E1196" s="25"/>
      <c r="F1196" s="26"/>
      <c r="G1196" s="25"/>
      <c r="H1196" s="25"/>
      <c r="I1196" s="25"/>
      <c r="J1196" s="25"/>
      <c r="K1196" s="25"/>
      <c r="L1196" s="25"/>
      <c r="M1196" s="25"/>
      <c r="N1196" s="27"/>
      <c r="O1196" s="27"/>
      <c r="P1196" s="27"/>
      <c r="Q1196" s="27"/>
      <c r="R1196" s="27"/>
      <c r="S1196" s="28"/>
      <c r="T1196" s="29"/>
      <c r="U1196" s="29"/>
      <c r="V1196" s="24"/>
      <c r="W1196" s="24"/>
    </row>
    <row r="1197">
      <c r="A1197" s="41"/>
      <c r="B1197" s="25"/>
      <c r="C1197" s="25"/>
      <c r="D1197" s="25"/>
      <c r="E1197" s="25"/>
      <c r="F1197" s="26"/>
      <c r="G1197" s="25"/>
      <c r="H1197" s="25"/>
      <c r="I1197" s="25"/>
      <c r="J1197" s="25"/>
      <c r="K1197" s="25"/>
      <c r="L1197" s="25"/>
      <c r="M1197" s="25"/>
      <c r="N1197" s="27"/>
      <c r="O1197" s="27"/>
      <c r="P1197" s="27"/>
      <c r="Q1197" s="27"/>
      <c r="R1197" s="27"/>
      <c r="S1197" s="28"/>
      <c r="T1197" s="29"/>
      <c r="U1197" s="29"/>
      <c r="V1197" s="24"/>
      <c r="W1197" s="24"/>
    </row>
    <row r="1198">
      <c r="A1198" s="41"/>
      <c r="B1198" s="25"/>
      <c r="C1198" s="25"/>
      <c r="D1198" s="25"/>
      <c r="E1198" s="25"/>
      <c r="F1198" s="26"/>
      <c r="G1198" s="25"/>
      <c r="H1198" s="25"/>
      <c r="I1198" s="25"/>
      <c r="J1198" s="25"/>
      <c r="K1198" s="25"/>
      <c r="L1198" s="25"/>
      <c r="M1198" s="25"/>
      <c r="N1198" s="27"/>
      <c r="O1198" s="27"/>
      <c r="P1198" s="27"/>
      <c r="Q1198" s="27"/>
      <c r="R1198" s="27"/>
      <c r="S1198" s="28"/>
      <c r="T1198" s="29"/>
      <c r="U1198" s="29"/>
      <c r="V1198" s="24"/>
      <c r="W1198" s="24"/>
    </row>
    <row r="1199">
      <c r="A1199" s="41"/>
      <c r="B1199" s="25"/>
      <c r="C1199" s="25"/>
      <c r="D1199" s="25"/>
      <c r="E1199" s="25"/>
      <c r="F1199" s="26"/>
      <c r="G1199" s="25"/>
      <c r="H1199" s="25"/>
      <c r="I1199" s="25"/>
      <c r="J1199" s="25"/>
      <c r="K1199" s="25"/>
      <c r="L1199" s="25"/>
      <c r="M1199" s="25"/>
      <c r="N1199" s="27"/>
      <c r="O1199" s="27"/>
      <c r="P1199" s="27"/>
      <c r="Q1199" s="27"/>
      <c r="R1199" s="27"/>
      <c r="S1199" s="28"/>
      <c r="T1199" s="29"/>
      <c r="U1199" s="29"/>
      <c r="V1199" s="24"/>
      <c r="W1199" s="24"/>
    </row>
    <row r="1200">
      <c r="A1200" s="41"/>
      <c r="B1200" s="25"/>
      <c r="C1200" s="25"/>
      <c r="D1200" s="25"/>
      <c r="E1200" s="25"/>
      <c r="F1200" s="26"/>
      <c r="G1200" s="25"/>
      <c r="H1200" s="25"/>
      <c r="I1200" s="25"/>
      <c r="J1200" s="25"/>
      <c r="K1200" s="25"/>
      <c r="L1200" s="25"/>
      <c r="M1200" s="25"/>
      <c r="N1200" s="27"/>
      <c r="O1200" s="27"/>
      <c r="P1200" s="27"/>
      <c r="Q1200" s="27"/>
      <c r="R1200" s="27"/>
      <c r="S1200" s="28"/>
      <c r="T1200" s="29"/>
      <c r="U1200" s="29"/>
      <c r="V1200" s="24"/>
      <c r="W1200" s="24"/>
    </row>
    <row r="1201">
      <c r="A1201" s="41"/>
      <c r="B1201" s="25"/>
      <c r="C1201" s="25"/>
      <c r="D1201" s="25"/>
      <c r="E1201" s="25"/>
      <c r="F1201" s="26"/>
      <c r="G1201" s="25"/>
      <c r="H1201" s="25"/>
      <c r="I1201" s="25"/>
      <c r="J1201" s="25"/>
      <c r="K1201" s="25"/>
      <c r="L1201" s="25"/>
      <c r="M1201" s="25"/>
      <c r="N1201" s="27"/>
      <c r="O1201" s="27"/>
      <c r="P1201" s="27"/>
      <c r="Q1201" s="27"/>
      <c r="R1201" s="27"/>
      <c r="S1201" s="28"/>
      <c r="T1201" s="29"/>
      <c r="U1201" s="29"/>
      <c r="V1201" s="24"/>
      <c r="W1201" s="24"/>
    </row>
    <row r="1202">
      <c r="A1202" s="41"/>
      <c r="B1202" s="25"/>
      <c r="C1202" s="25"/>
      <c r="D1202" s="25"/>
      <c r="E1202" s="25"/>
      <c r="F1202" s="26"/>
      <c r="G1202" s="25"/>
      <c r="H1202" s="25"/>
      <c r="I1202" s="25"/>
      <c r="J1202" s="25"/>
      <c r="K1202" s="25"/>
      <c r="L1202" s="25"/>
      <c r="M1202" s="25"/>
      <c r="N1202" s="27"/>
      <c r="O1202" s="27"/>
      <c r="P1202" s="27"/>
      <c r="Q1202" s="27"/>
      <c r="R1202" s="27"/>
      <c r="S1202" s="28"/>
      <c r="T1202" s="29"/>
      <c r="U1202" s="29"/>
      <c r="V1202" s="24"/>
      <c r="W1202" s="24"/>
    </row>
    <row r="1203">
      <c r="A1203" s="41"/>
      <c r="B1203" s="25"/>
      <c r="C1203" s="25"/>
      <c r="D1203" s="25"/>
      <c r="E1203" s="25"/>
      <c r="F1203" s="26"/>
      <c r="G1203" s="25"/>
      <c r="H1203" s="25"/>
      <c r="I1203" s="25"/>
      <c r="J1203" s="25"/>
      <c r="K1203" s="25"/>
      <c r="L1203" s="25"/>
      <c r="M1203" s="25"/>
      <c r="N1203" s="27"/>
      <c r="O1203" s="27"/>
      <c r="P1203" s="27"/>
      <c r="Q1203" s="27"/>
      <c r="R1203" s="27"/>
      <c r="S1203" s="28"/>
      <c r="T1203" s="29"/>
      <c r="U1203" s="29"/>
      <c r="V1203" s="24"/>
      <c r="W1203" s="24"/>
    </row>
    <row r="1204">
      <c r="A1204" s="41"/>
      <c r="B1204" s="25"/>
      <c r="C1204" s="25"/>
      <c r="D1204" s="25"/>
      <c r="E1204" s="25"/>
      <c r="F1204" s="26"/>
      <c r="G1204" s="25"/>
      <c r="H1204" s="25"/>
      <c r="I1204" s="25"/>
      <c r="J1204" s="25"/>
      <c r="K1204" s="25"/>
      <c r="L1204" s="25"/>
      <c r="M1204" s="25"/>
      <c r="N1204" s="27"/>
      <c r="O1204" s="27"/>
      <c r="P1204" s="27"/>
      <c r="Q1204" s="27"/>
      <c r="R1204" s="27"/>
      <c r="S1204" s="28"/>
      <c r="T1204" s="29"/>
      <c r="U1204" s="29"/>
      <c r="V1204" s="24"/>
      <c r="W1204" s="24"/>
    </row>
    <row r="1205">
      <c r="A1205" s="41"/>
      <c r="B1205" s="25"/>
      <c r="C1205" s="25"/>
      <c r="D1205" s="25"/>
      <c r="E1205" s="25"/>
      <c r="F1205" s="26"/>
      <c r="G1205" s="25"/>
      <c r="H1205" s="25"/>
      <c r="I1205" s="25"/>
      <c r="J1205" s="25"/>
      <c r="K1205" s="25"/>
      <c r="L1205" s="25"/>
      <c r="M1205" s="25"/>
      <c r="N1205" s="27"/>
      <c r="O1205" s="27"/>
      <c r="P1205" s="27"/>
      <c r="Q1205" s="27"/>
      <c r="R1205" s="27"/>
      <c r="S1205" s="28"/>
      <c r="T1205" s="29"/>
      <c r="U1205" s="29"/>
      <c r="V1205" s="24"/>
      <c r="W1205" s="24"/>
    </row>
    <row r="1206">
      <c r="A1206" s="41"/>
      <c r="B1206" s="25"/>
      <c r="C1206" s="25"/>
      <c r="D1206" s="25"/>
      <c r="E1206" s="25"/>
      <c r="F1206" s="26"/>
      <c r="G1206" s="25"/>
      <c r="H1206" s="25"/>
      <c r="I1206" s="25"/>
      <c r="J1206" s="25"/>
      <c r="K1206" s="25"/>
      <c r="L1206" s="25"/>
      <c r="M1206" s="25"/>
      <c r="N1206" s="27"/>
      <c r="O1206" s="27"/>
      <c r="P1206" s="27"/>
      <c r="Q1206" s="27"/>
      <c r="R1206" s="27"/>
      <c r="S1206" s="28"/>
      <c r="T1206" s="29"/>
      <c r="U1206" s="29"/>
      <c r="V1206" s="24"/>
      <c r="W1206" s="24"/>
    </row>
    <row r="1207">
      <c r="A1207" s="41"/>
      <c r="B1207" s="25"/>
      <c r="C1207" s="25"/>
      <c r="D1207" s="25"/>
      <c r="E1207" s="25"/>
      <c r="F1207" s="26"/>
      <c r="G1207" s="25"/>
      <c r="H1207" s="25"/>
      <c r="I1207" s="25"/>
      <c r="J1207" s="25"/>
      <c r="K1207" s="25"/>
      <c r="L1207" s="25"/>
      <c r="M1207" s="25"/>
      <c r="N1207" s="27"/>
      <c r="O1207" s="27"/>
      <c r="P1207" s="27"/>
      <c r="Q1207" s="27"/>
      <c r="R1207" s="27"/>
      <c r="S1207" s="28"/>
      <c r="T1207" s="29"/>
      <c r="U1207" s="29"/>
      <c r="V1207" s="24"/>
      <c r="W1207" s="24"/>
    </row>
    <row r="1208">
      <c r="A1208" s="41"/>
      <c r="B1208" s="25"/>
      <c r="C1208" s="25"/>
      <c r="D1208" s="25"/>
      <c r="E1208" s="25"/>
      <c r="F1208" s="26"/>
      <c r="G1208" s="25"/>
      <c r="H1208" s="25"/>
      <c r="I1208" s="25"/>
      <c r="J1208" s="25"/>
      <c r="K1208" s="25"/>
      <c r="L1208" s="25"/>
      <c r="M1208" s="25"/>
      <c r="N1208" s="27"/>
      <c r="O1208" s="27"/>
      <c r="P1208" s="27"/>
      <c r="Q1208" s="27"/>
      <c r="R1208" s="27"/>
      <c r="S1208" s="28"/>
      <c r="T1208" s="29"/>
      <c r="U1208" s="29"/>
      <c r="V1208" s="24"/>
      <c r="W1208" s="24"/>
    </row>
    <row r="1209">
      <c r="A1209" s="41"/>
      <c r="B1209" s="25"/>
      <c r="C1209" s="25"/>
      <c r="D1209" s="25"/>
      <c r="E1209" s="25"/>
      <c r="F1209" s="26"/>
      <c r="G1209" s="25"/>
      <c r="H1209" s="25"/>
      <c r="I1209" s="25"/>
      <c r="J1209" s="25"/>
      <c r="K1209" s="25"/>
      <c r="L1209" s="25"/>
      <c r="M1209" s="25"/>
      <c r="N1209" s="27"/>
      <c r="O1209" s="27"/>
      <c r="P1209" s="27"/>
      <c r="Q1209" s="27"/>
      <c r="R1209" s="27"/>
      <c r="S1209" s="28"/>
      <c r="T1209" s="29"/>
      <c r="U1209" s="29"/>
      <c r="V1209" s="24"/>
      <c r="W1209" s="24"/>
    </row>
    <row r="1210">
      <c r="A1210" s="41"/>
      <c r="B1210" s="25"/>
      <c r="C1210" s="25"/>
      <c r="D1210" s="25"/>
      <c r="E1210" s="25"/>
      <c r="F1210" s="26"/>
      <c r="G1210" s="25"/>
      <c r="H1210" s="25"/>
      <c r="I1210" s="25"/>
      <c r="J1210" s="25"/>
      <c r="K1210" s="25"/>
      <c r="L1210" s="25"/>
      <c r="M1210" s="25"/>
      <c r="N1210" s="27"/>
      <c r="O1210" s="27"/>
      <c r="P1210" s="27"/>
      <c r="Q1210" s="27"/>
      <c r="R1210" s="27"/>
      <c r="S1210" s="28"/>
      <c r="T1210" s="29"/>
      <c r="U1210" s="29"/>
      <c r="V1210" s="24"/>
      <c r="W1210" s="24"/>
    </row>
    <row r="1211">
      <c r="A1211" s="41"/>
      <c r="B1211" s="25"/>
      <c r="C1211" s="25"/>
      <c r="D1211" s="25"/>
      <c r="E1211" s="25"/>
      <c r="F1211" s="26"/>
      <c r="G1211" s="25"/>
      <c r="H1211" s="25"/>
      <c r="I1211" s="25"/>
      <c r="J1211" s="25"/>
      <c r="K1211" s="25"/>
      <c r="L1211" s="25"/>
      <c r="M1211" s="25"/>
      <c r="N1211" s="27"/>
      <c r="O1211" s="27"/>
      <c r="P1211" s="27"/>
      <c r="Q1211" s="27"/>
      <c r="R1211" s="27"/>
      <c r="S1211" s="28"/>
      <c r="T1211" s="29"/>
      <c r="U1211" s="29"/>
      <c r="V1211" s="24"/>
      <c r="W1211" s="24"/>
    </row>
    <row r="1212">
      <c r="A1212" s="41"/>
      <c r="B1212" s="25"/>
      <c r="C1212" s="25"/>
      <c r="D1212" s="25"/>
      <c r="E1212" s="25"/>
      <c r="F1212" s="26"/>
      <c r="G1212" s="25"/>
      <c r="H1212" s="25"/>
      <c r="I1212" s="25"/>
      <c r="J1212" s="25"/>
      <c r="K1212" s="25"/>
      <c r="L1212" s="25"/>
      <c r="M1212" s="25"/>
      <c r="N1212" s="27"/>
      <c r="O1212" s="27"/>
      <c r="P1212" s="27"/>
      <c r="Q1212" s="27"/>
      <c r="R1212" s="27"/>
      <c r="S1212" s="28"/>
      <c r="T1212" s="29"/>
      <c r="U1212" s="29"/>
      <c r="V1212" s="24"/>
      <c r="W1212" s="24"/>
    </row>
    <row r="1213">
      <c r="A1213" s="41"/>
      <c r="B1213" s="25"/>
      <c r="C1213" s="25"/>
      <c r="D1213" s="25"/>
      <c r="E1213" s="25"/>
      <c r="F1213" s="26"/>
      <c r="G1213" s="25"/>
      <c r="H1213" s="25"/>
      <c r="I1213" s="25"/>
      <c r="J1213" s="25"/>
      <c r="K1213" s="25"/>
      <c r="L1213" s="25"/>
      <c r="M1213" s="25"/>
      <c r="N1213" s="27"/>
      <c r="O1213" s="27"/>
      <c r="P1213" s="27"/>
      <c r="Q1213" s="27"/>
      <c r="R1213" s="27"/>
      <c r="S1213" s="28"/>
      <c r="T1213" s="29"/>
      <c r="U1213" s="29"/>
      <c r="V1213" s="24"/>
      <c r="W1213" s="24"/>
    </row>
    <row r="1214">
      <c r="A1214" s="41"/>
      <c r="B1214" s="25"/>
      <c r="C1214" s="25"/>
      <c r="D1214" s="25"/>
      <c r="E1214" s="25"/>
      <c r="F1214" s="26"/>
      <c r="G1214" s="25"/>
      <c r="H1214" s="25"/>
      <c r="I1214" s="25"/>
      <c r="J1214" s="25"/>
      <c r="K1214" s="25"/>
      <c r="L1214" s="25"/>
      <c r="M1214" s="25"/>
      <c r="N1214" s="27"/>
      <c r="O1214" s="27"/>
      <c r="P1214" s="27"/>
      <c r="Q1214" s="27"/>
      <c r="R1214" s="27"/>
      <c r="S1214" s="28"/>
      <c r="T1214" s="29"/>
      <c r="U1214" s="29"/>
      <c r="V1214" s="24"/>
      <c r="W1214" s="24"/>
    </row>
    <row r="1215">
      <c r="A1215" s="41"/>
      <c r="B1215" s="25"/>
      <c r="C1215" s="25"/>
      <c r="D1215" s="25"/>
      <c r="E1215" s="25"/>
      <c r="F1215" s="26"/>
      <c r="G1215" s="25"/>
      <c r="H1215" s="25"/>
      <c r="I1215" s="25"/>
      <c r="J1215" s="25"/>
      <c r="K1215" s="25"/>
      <c r="L1215" s="25"/>
      <c r="M1215" s="25"/>
      <c r="N1215" s="27"/>
      <c r="O1215" s="27"/>
      <c r="P1215" s="27"/>
      <c r="Q1215" s="27"/>
      <c r="R1215" s="27"/>
      <c r="S1215" s="28"/>
      <c r="T1215" s="29"/>
      <c r="U1215" s="29"/>
      <c r="V1215" s="24"/>
      <c r="W1215" s="24"/>
    </row>
    <row r="1216">
      <c r="A1216" s="41"/>
      <c r="B1216" s="25"/>
      <c r="C1216" s="25"/>
      <c r="D1216" s="25"/>
      <c r="E1216" s="25"/>
      <c r="F1216" s="26"/>
      <c r="G1216" s="25"/>
      <c r="H1216" s="25"/>
      <c r="I1216" s="25"/>
      <c r="J1216" s="25"/>
      <c r="K1216" s="25"/>
      <c r="L1216" s="25"/>
      <c r="M1216" s="25"/>
      <c r="N1216" s="27"/>
      <c r="O1216" s="27"/>
      <c r="P1216" s="27"/>
      <c r="Q1216" s="27"/>
      <c r="R1216" s="27"/>
      <c r="S1216" s="28"/>
      <c r="T1216" s="29"/>
      <c r="U1216" s="29"/>
      <c r="V1216" s="24"/>
      <c r="W1216" s="24"/>
    </row>
    <row r="1217">
      <c r="A1217" s="41"/>
      <c r="B1217" s="25"/>
      <c r="C1217" s="25"/>
      <c r="D1217" s="25"/>
      <c r="E1217" s="25"/>
      <c r="F1217" s="26"/>
      <c r="G1217" s="25"/>
      <c r="H1217" s="25"/>
      <c r="I1217" s="25"/>
      <c r="J1217" s="25"/>
      <c r="K1217" s="25"/>
      <c r="L1217" s="25"/>
      <c r="M1217" s="25"/>
      <c r="N1217" s="27"/>
      <c r="O1217" s="27"/>
      <c r="P1217" s="27"/>
      <c r="Q1217" s="27"/>
      <c r="R1217" s="27"/>
      <c r="S1217" s="28"/>
      <c r="T1217" s="29"/>
      <c r="U1217" s="29"/>
      <c r="V1217" s="24"/>
      <c r="W1217" s="24"/>
    </row>
    <row r="1218">
      <c r="A1218" s="41"/>
      <c r="B1218" s="25"/>
      <c r="C1218" s="25"/>
      <c r="D1218" s="25"/>
      <c r="E1218" s="25"/>
      <c r="F1218" s="26"/>
      <c r="G1218" s="25"/>
      <c r="H1218" s="25"/>
      <c r="I1218" s="25"/>
      <c r="J1218" s="25"/>
      <c r="K1218" s="25"/>
      <c r="L1218" s="25"/>
      <c r="M1218" s="25"/>
      <c r="N1218" s="27"/>
      <c r="O1218" s="27"/>
      <c r="P1218" s="27"/>
      <c r="Q1218" s="27"/>
      <c r="R1218" s="27"/>
      <c r="S1218" s="28"/>
      <c r="T1218" s="29"/>
      <c r="U1218" s="29"/>
      <c r="V1218" s="24"/>
      <c r="W1218" s="24"/>
    </row>
    <row r="1219">
      <c r="A1219" s="41"/>
      <c r="B1219" s="25"/>
      <c r="C1219" s="25"/>
      <c r="D1219" s="25"/>
      <c r="E1219" s="25"/>
      <c r="F1219" s="26"/>
      <c r="G1219" s="25"/>
      <c r="H1219" s="25"/>
      <c r="I1219" s="25"/>
      <c r="J1219" s="25"/>
      <c r="K1219" s="25"/>
      <c r="L1219" s="25"/>
      <c r="M1219" s="25"/>
      <c r="N1219" s="27"/>
      <c r="O1219" s="27"/>
      <c r="P1219" s="27"/>
      <c r="Q1219" s="27"/>
      <c r="R1219" s="27"/>
      <c r="S1219" s="28"/>
      <c r="T1219" s="29"/>
      <c r="U1219" s="29"/>
      <c r="V1219" s="24"/>
      <c r="W1219" s="24"/>
    </row>
    <row r="1220">
      <c r="A1220" s="41"/>
      <c r="B1220" s="25"/>
      <c r="C1220" s="25"/>
      <c r="D1220" s="25"/>
      <c r="E1220" s="25"/>
      <c r="F1220" s="26"/>
      <c r="G1220" s="25"/>
      <c r="H1220" s="25"/>
      <c r="I1220" s="25"/>
      <c r="J1220" s="25"/>
      <c r="K1220" s="25"/>
      <c r="L1220" s="25"/>
      <c r="M1220" s="25"/>
      <c r="N1220" s="27"/>
      <c r="O1220" s="27"/>
      <c r="P1220" s="27"/>
      <c r="Q1220" s="27"/>
      <c r="R1220" s="27"/>
      <c r="S1220" s="28"/>
      <c r="T1220" s="29"/>
      <c r="U1220" s="29"/>
      <c r="V1220" s="24"/>
      <c r="W1220" s="24"/>
    </row>
    <row r="1221">
      <c r="A1221" s="41"/>
      <c r="B1221" s="25"/>
      <c r="C1221" s="25"/>
      <c r="D1221" s="25"/>
      <c r="E1221" s="25"/>
      <c r="F1221" s="26"/>
      <c r="G1221" s="25"/>
      <c r="H1221" s="25"/>
      <c r="I1221" s="25"/>
      <c r="J1221" s="25"/>
      <c r="K1221" s="25"/>
      <c r="L1221" s="25"/>
      <c r="M1221" s="25"/>
      <c r="N1221" s="27"/>
      <c r="O1221" s="27"/>
      <c r="P1221" s="27"/>
      <c r="Q1221" s="27"/>
      <c r="R1221" s="27"/>
      <c r="S1221" s="28"/>
      <c r="T1221" s="29"/>
      <c r="U1221" s="29"/>
      <c r="V1221" s="24"/>
      <c r="W1221" s="24"/>
    </row>
    <row r="1222">
      <c r="A1222" s="41"/>
      <c r="B1222" s="25"/>
      <c r="C1222" s="25"/>
      <c r="D1222" s="25"/>
      <c r="E1222" s="25"/>
      <c r="F1222" s="26"/>
      <c r="G1222" s="25"/>
      <c r="H1222" s="25"/>
      <c r="I1222" s="25"/>
      <c r="J1222" s="25"/>
      <c r="K1222" s="25"/>
      <c r="L1222" s="25"/>
      <c r="M1222" s="25"/>
      <c r="N1222" s="27"/>
      <c r="O1222" s="27"/>
      <c r="P1222" s="27"/>
      <c r="Q1222" s="27"/>
      <c r="R1222" s="27"/>
      <c r="S1222" s="28"/>
      <c r="T1222" s="29"/>
      <c r="U1222" s="29"/>
      <c r="V1222" s="24"/>
      <c r="W1222" s="24"/>
    </row>
    <row r="1223">
      <c r="A1223" s="41"/>
      <c r="B1223" s="25"/>
      <c r="C1223" s="25"/>
      <c r="D1223" s="25"/>
      <c r="E1223" s="25"/>
      <c r="F1223" s="26"/>
      <c r="G1223" s="25"/>
      <c r="H1223" s="25"/>
      <c r="I1223" s="25"/>
      <c r="J1223" s="25"/>
      <c r="K1223" s="25"/>
      <c r="L1223" s="25"/>
      <c r="M1223" s="25"/>
      <c r="N1223" s="27"/>
      <c r="O1223" s="27"/>
      <c r="P1223" s="27"/>
      <c r="Q1223" s="27"/>
      <c r="R1223" s="27"/>
      <c r="S1223" s="28"/>
      <c r="T1223" s="29"/>
      <c r="U1223" s="29"/>
      <c r="V1223" s="24"/>
      <c r="W1223" s="24"/>
    </row>
    <row r="1224">
      <c r="A1224" s="41"/>
      <c r="B1224" s="25"/>
      <c r="C1224" s="25"/>
      <c r="D1224" s="25"/>
      <c r="E1224" s="25"/>
      <c r="F1224" s="26"/>
      <c r="G1224" s="25"/>
      <c r="H1224" s="25"/>
      <c r="I1224" s="25"/>
      <c r="J1224" s="25"/>
      <c r="K1224" s="25"/>
      <c r="L1224" s="25"/>
      <c r="M1224" s="25"/>
      <c r="N1224" s="27"/>
      <c r="O1224" s="27"/>
      <c r="P1224" s="27"/>
      <c r="Q1224" s="27"/>
      <c r="R1224" s="27"/>
      <c r="S1224" s="28"/>
      <c r="T1224" s="29"/>
      <c r="U1224" s="29"/>
      <c r="V1224" s="24"/>
      <c r="W1224" s="24"/>
    </row>
    <row r="1225">
      <c r="A1225" s="41"/>
      <c r="B1225" s="25"/>
      <c r="C1225" s="25"/>
      <c r="D1225" s="25"/>
      <c r="E1225" s="25"/>
      <c r="F1225" s="26"/>
      <c r="G1225" s="25"/>
      <c r="H1225" s="25"/>
      <c r="I1225" s="25"/>
      <c r="J1225" s="25"/>
      <c r="K1225" s="25"/>
      <c r="L1225" s="25"/>
      <c r="M1225" s="25"/>
      <c r="N1225" s="27"/>
      <c r="O1225" s="27"/>
      <c r="P1225" s="27"/>
      <c r="Q1225" s="27"/>
      <c r="R1225" s="27"/>
      <c r="S1225" s="28"/>
      <c r="T1225" s="29"/>
      <c r="U1225" s="29"/>
      <c r="V1225" s="24"/>
      <c r="W1225" s="24"/>
    </row>
    <row r="1226">
      <c r="A1226" s="41"/>
      <c r="B1226" s="25"/>
      <c r="C1226" s="25"/>
      <c r="D1226" s="25"/>
      <c r="E1226" s="25"/>
      <c r="F1226" s="26"/>
      <c r="G1226" s="25"/>
      <c r="H1226" s="25"/>
      <c r="I1226" s="25"/>
      <c r="J1226" s="25"/>
      <c r="K1226" s="25"/>
      <c r="L1226" s="25"/>
      <c r="M1226" s="25"/>
      <c r="N1226" s="27"/>
      <c r="O1226" s="27"/>
      <c r="P1226" s="27"/>
      <c r="Q1226" s="27"/>
      <c r="R1226" s="27"/>
      <c r="S1226" s="28"/>
      <c r="T1226" s="29"/>
      <c r="U1226" s="29"/>
      <c r="V1226" s="24"/>
      <c r="W1226" s="24"/>
    </row>
    <row r="1227">
      <c r="A1227" s="41"/>
      <c r="B1227" s="25"/>
      <c r="C1227" s="25"/>
      <c r="D1227" s="25"/>
      <c r="E1227" s="25"/>
      <c r="F1227" s="26"/>
      <c r="G1227" s="25"/>
      <c r="H1227" s="25"/>
      <c r="I1227" s="25"/>
      <c r="J1227" s="25"/>
      <c r="K1227" s="25"/>
      <c r="L1227" s="25"/>
      <c r="M1227" s="25"/>
      <c r="N1227" s="27"/>
      <c r="O1227" s="27"/>
      <c r="P1227" s="27"/>
      <c r="Q1227" s="27"/>
      <c r="R1227" s="27"/>
      <c r="S1227" s="28"/>
      <c r="T1227" s="29"/>
      <c r="U1227" s="29"/>
      <c r="V1227" s="24"/>
      <c r="W1227" s="24"/>
    </row>
    <row r="1228">
      <c r="A1228" s="41"/>
      <c r="B1228" s="25"/>
      <c r="C1228" s="25"/>
      <c r="D1228" s="25"/>
      <c r="E1228" s="25"/>
      <c r="F1228" s="26"/>
      <c r="G1228" s="25"/>
      <c r="H1228" s="25"/>
      <c r="I1228" s="25"/>
      <c r="J1228" s="25"/>
      <c r="K1228" s="25"/>
      <c r="L1228" s="25"/>
      <c r="M1228" s="25"/>
      <c r="N1228" s="27"/>
      <c r="O1228" s="27"/>
      <c r="P1228" s="27"/>
      <c r="Q1228" s="27"/>
      <c r="R1228" s="27"/>
      <c r="S1228" s="28"/>
      <c r="T1228" s="29"/>
      <c r="U1228" s="29"/>
      <c r="V1228" s="24"/>
      <c r="W1228" s="24"/>
    </row>
    <row r="1229">
      <c r="A1229" s="41"/>
      <c r="B1229" s="25"/>
      <c r="C1229" s="25"/>
      <c r="D1229" s="25"/>
      <c r="E1229" s="25"/>
      <c r="F1229" s="26"/>
      <c r="G1229" s="25"/>
      <c r="H1229" s="25"/>
      <c r="I1229" s="25"/>
      <c r="J1229" s="25"/>
      <c r="K1229" s="25"/>
      <c r="L1229" s="25"/>
      <c r="M1229" s="25"/>
      <c r="N1229" s="27"/>
      <c r="O1229" s="27"/>
      <c r="P1229" s="27"/>
      <c r="Q1229" s="27"/>
      <c r="R1229" s="27"/>
      <c r="S1229" s="28"/>
      <c r="T1229" s="29"/>
      <c r="U1229" s="29"/>
      <c r="V1229" s="24"/>
      <c r="W1229" s="24"/>
    </row>
    <row r="1230">
      <c r="A1230" s="41"/>
      <c r="B1230" s="25"/>
      <c r="C1230" s="25"/>
      <c r="D1230" s="25"/>
      <c r="E1230" s="25"/>
      <c r="F1230" s="26"/>
      <c r="G1230" s="25"/>
      <c r="H1230" s="25"/>
      <c r="I1230" s="25"/>
      <c r="J1230" s="25"/>
      <c r="K1230" s="25"/>
      <c r="L1230" s="25"/>
      <c r="M1230" s="25"/>
      <c r="N1230" s="27"/>
      <c r="O1230" s="27"/>
      <c r="P1230" s="27"/>
      <c r="Q1230" s="27"/>
      <c r="R1230" s="27"/>
      <c r="S1230" s="28"/>
      <c r="T1230" s="29"/>
      <c r="U1230" s="29"/>
      <c r="V1230" s="24"/>
      <c r="W1230" s="24"/>
    </row>
    <row r="1231">
      <c r="A1231" s="41"/>
      <c r="B1231" s="25"/>
      <c r="C1231" s="25"/>
      <c r="D1231" s="25"/>
      <c r="E1231" s="25"/>
      <c r="F1231" s="26"/>
      <c r="G1231" s="25"/>
      <c r="H1231" s="25"/>
      <c r="I1231" s="25"/>
      <c r="J1231" s="25"/>
      <c r="K1231" s="25"/>
      <c r="L1231" s="25"/>
      <c r="M1231" s="25"/>
      <c r="N1231" s="27"/>
      <c r="O1231" s="27"/>
      <c r="P1231" s="27"/>
      <c r="Q1231" s="27"/>
      <c r="R1231" s="27"/>
      <c r="S1231" s="28"/>
      <c r="T1231" s="29"/>
      <c r="U1231" s="29"/>
      <c r="V1231" s="24"/>
      <c r="W1231" s="24"/>
    </row>
    <row r="1232">
      <c r="A1232" s="41"/>
      <c r="B1232" s="25"/>
      <c r="C1232" s="25"/>
      <c r="D1232" s="25"/>
      <c r="E1232" s="25"/>
      <c r="F1232" s="26"/>
      <c r="G1232" s="25"/>
      <c r="H1232" s="25"/>
      <c r="I1232" s="25"/>
      <c r="J1232" s="25"/>
      <c r="K1232" s="25"/>
      <c r="L1232" s="25"/>
      <c r="M1232" s="25"/>
      <c r="N1232" s="27"/>
      <c r="O1232" s="27"/>
      <c r="P1232" s="27"/>
      <c r="Q1232" s="27"/>
      <c r="R1232" s="27"/>
      <c r="S1232" s="28"/>
      <c r="T1232" s="29"/>
      <c r="U1232" s="29"/>
      <c r="V1232" s="24"/>
      <c r="W1232" s="24"/>
    </row>
    <row r="1233">
      <c r="A1233" s="41"/>
      <c r="B1233" s="25"/>
      <c r="C1233" s="25"/>
      <c r="D1233" s="25"/>
      <c r="E1233" s="25"/>
      <c r="F1233" s="26"/>
      <c r="G1233" s="25"/>
      <c r="H1233" s="25"/>
      <c r="I1233" s="25"/>
      <c r="J1233" s="25"/>
      <c r="K1233" s="25"/>
      <c r="L1233" s="25"/>
      <c r="M1233" s="25"/>
      <c r="N1233" s="27"/>
      <c r="O1233" s="27"/>
      <c r="P1233" s="27"/>
      <c r="Q1233" s="27"/>
      <c r="R1233" s="27"/>
      <c r="S1233" s="28"/>
      <c r="T1233" s="29"/>
      <c r="U1233" s="29"/>
      <c r="V1233" s="24"/>
      <c r="W1233" s="24"/>
    </row>
    <row r="1234">
      <c r="A1234" s="41"/>
      <c r="B1234" s="25"/>
      <c r="C1234" s="25"/>
      <c r="D1234" s="25"/>
      <c r="E1234" s="25"/>
      <c r="F1234" s="26"/>
      <c r="G1234" s="25"/>
      <c r="H1234" s="25"/>
      <c r="I1234" s="25"/>
      <c r="J1234" s="25"/>
      <c r="K1234" s="25"/>
      <c r="L1234" s="25"/>
      <c r="M1234" s="25"/>
      <c r="N1234" s="27"/>
      <c r="O1234" s="27"/>
      <c r="P1234" s="27"/>
      <c r="Q1234" s="27"/>
      <c r="R1234" s="27"/>
      <c r="S1234" s="28"/>
      <c r="T1234" s="29"/>
      <c r="U1234" s="29"/>
      <c r="V1234" s="24"/>
      <c r="W1234" s="24"/>
    </row>
    <row r="1235">
      <c r="A1235" s="41"/>
      <c r="B1235" s="25"/>
      <c r="C1235" s="25"/>
      <c r="D1235" s="25"/>
      <c r="E1235" s="25"/>
      <c r="F1235" s="26"/>
      <c r="G1235" s="25"/>
      <c r="H1235" s="25"/>
      <c r="I1235" s="25"/>
      <c r="J1235" s="25"/>
      <c r="K1235" s="25"/>
      <c r="L1235" s="25"/>
      <c r="M1235" s="25"/>
      <c r="N1235" s="27"/>
      <c r="O1235" s="27"/>
      <c r="P1235" s="27"/>
      <c r="Q1235" s="27"/>
      <c r="R1235" s="27"/>
      <c r="S1235" s="28"/>
      <c r="T1235" s="29"/>
      <c r="U1235" s="29"/>
      <c r="V1235" s="24"/>
      <c r="W1235" s="24"/>
    </row>
    <row r="1236">
      <c r="A1236" s="41"/>
      <c r="B1236" s="25"/>
      <c r="C1236" s="25"/>
      <c r="D1236" s="25"/>
      <c r="E1236" s="25"/>
      <c r="F1236" s="26"/>
      <c r="G1236" s="25"/>
      <c r="H1236" s="25"/>
      <c r="I1236" s="25"/>
      <c r="J1236" s="25"/>
      <c r="K1236" s="25"/>
      <c r="L1236" s="25"/>
      <c r="M1236" s="25"/>
      <c r="N1236" s="27"/>
      <c r="O1236" s="27"/>
      <c r="P1236" s="27"/>
      <c r="Q1236" s="27"/>
      <c r="R1236" s="27"/>
      <c r="S1236" s="28"/>
      <c r="T1236" s="29"/>
      <c r="U1236" s="29"/>
      <c r="V1236" s="24"/>
      <c r="W1236" s="24"/>
    </row>
    <row r="1237">
      <c r="A1237" s="41"/>
      <c r="B1237" s="25"/>
      <c r="C1237" s="25"/>
      <c r="D1237" s="25"/>
      <c r="E1237" s="25"/>
      <c r="F1237" s="26"/>
      <c r="G1237" s="25"/>
      <c r="H1237" s="25"/>
      <c r="I1237" s="25"/>
      <c r="J1237" s="25"/>
      <c r="K1237" s="25"/>
      <c r="L1237" s="25"/>
      <c r="M1237" s="25"/>
      <c r="N1237" s="27"/>
      <c r="O1237" s="27"/>
      <c r="P1237" s="27"/>
      <c r="Q1237" s="27"/>
      <c r="R1237" s="27"/>
      <c r="S1237" s="28"/>
      <c r="T1237" s="29"/>
      <c r="U1237" s="29"/>
      <c r="V1237" s="24"/>
      <c r="W1237" s="24"/>
    </row>
    <row r="1238">
      <c r="A1238" s="41"/>
      <c r="B1238" s="25"/>
      <c r="C1238" s="25"/>
      <c r="D1238" s="25"/>
      <c r="E1238" s="25"/>
      <c r="F1238" s="26"/>
      <c r="G1238" s="25"/>
      <c r="H1238" s="25"/>
      <c r="I1238" s="25"/>
      <c r="J1238" s="25"/>
      <c r="K1238" s="25"/>
      <c r="L1238" s="25"/>
      <c r="M1238" s="25"/>
      <c r="N1238" s="27"/>
      <c r="O1238" s="27"/>
      <c r="P1238" s="27"/>
      <c r="Q1238" s="27"/>
      <c r="R1238" s="27"/>
      <c r="S1238" s="28"/>
      <c r="T1238" s="29"/>
      <c r="U1238" s="29"/>
      <c r="V1238" s="24"/>
      <c r="W1238" s="24"/>
    </row>
    <row r="1239">
      <c r="A1239" s="41"/>
      <c r="B1239" s="25"/>
      <c r="C1239" s="25"/>
      <c r="D1239" s="25"/>
      <c r="E1239" s="25"/>
      <c r="F1239" s="26"/>
      <c r="G1239" s="25"/>
      <c r="H1239" s="25"/>
      <c r="I1239" s="25"/>
      <c r="J1239" s="25"/>
      <c r="K1239" s="25"/>
      <c r="L1239" s="25"/>
      <c r="M1239" s="25"/>
      <c r="N1239" s="27"/>
      <c r="O1239" s="27"/>
      <c r="P1239" s="27"/>
      <c r="Q1239" s="27"/>
      <c r="R1239" s="27"/>
      <c r="S1239" s="28"/>
      <c r="T1239" s="29"/>
      <c r="U1239" s="29"/>
      <c r="V1239" s="24"/>
      <c r="W1239" s="24"/>
    </row>
    <row r="1240">
      <c r="A1240" s="41"/>
      <c r="B1240" s="25"/>
      <c r="C1240" s="25"/>
      <c r="D1240" s="25"/>
      <c r="E1240" s="25"/>
      <c r="F1240" s="26"/>
      <c r="G1240" s="25"/>
      <c r="H1240" s="25"/>
      <c r="I1240" s="25"/>
      <c r="J1240" s="25"/>
      <c r="K1240" s="25"/>
      <c r="L1240" s="25"/>
      <c r="M1240" s="25"/>
      <c r="N1240" s="27"/>
      <c r="O1240" s="27"/>
      <c r="P1240" s="27"/>
      <c r="Q1240" s="27"/>
      <c r="R1240" s="27"/>
      <c r="S1240" s="28"/>
      <c r="T1240" s="29"/>
      <c r="U1240" s="29"/>
      <c r="V1240" s="24"/>
      <c r="W1240" s="24"/>
    </row>
    <row r="1241">
      <c r="A1241" s="41"/>
      <c r="B1241" s="25"/>
      <c r="C1241" s="25"/>
      <c r="D1241" s="25"/>
      <c r="E1241" s="25"/>
      <c r="F1241" s="26"/>
      <c r="G1241" s="25"/>
      <c r="H1241" s="25"/>
      <c r="I1241" s="25"/>
      <c r="J1241" s="25"/>
      <c r="K1241" s="25"/>
      <c r="L1241" s="25"/>
      <c r="M1241" s="25"/>
      <c r="N1241" s="27"/>
      <c r="O1241" s="27"/>
      <c r="P1241" s="27"/>
      <c r="Q1241" s="27"/>
      <c r="R1241" s="27"/>
      <c r="S1241" s="28"/>
      <c r="T1241" s="29"/>
      <c r="U1241" s="29"/>
      <c r="V1241" s="24"/>
      <c r="W1241" s="24"/>
    </row>
    <row r="1242">
      <c r="A1242" s="41"/>
      <c r="B1242" s="25"/>
      <c r="C1242" s="25"/>
      <c r="D1242" s="25"/>
      <c r="E1242" s="25"/>
      <c r="F1242" s="26"/>
      <c r="G1242" s="25"/>
      <c r="H1242" s="25"/>
      <c r="I1242" s="25"/>
      <c r="J1242" s="25"/>
      <c r="K1242" s="25"/>
      <c r="L1242" s="25"/>
      <c r="M1242" s="25"/>
      <c r="N1242" s="27"/>
      <c r="O1242" s="27"/>
      <c r="P1242" s="27"/>
      <c r="Q1242" s="27"/>
      <c r="R1242" s="27"/>
      <c r="S1242" s="28"/>
      <c r="T1242" s="29"/>
      <c r="U1242" s="29"/>
      <c r="V1242" s="24"/>
      <c r="W1242" s="24"/>
    </row>
    <row r="1243">
      <c r="A1243" s="41"/>
      <c r="B1243" s="25"/>
      <c r="C1243" s="25"/>
      <c r="D1243" s="25"/>
      <c r="E1243" s="25"/>
      <c r="F1243" s="26"/>
      <c r="G1243" s="25"/>
      <c r="H1243" s="25"/>
      <c r="I1243" s="25"/>
      <c r="J1243" s="25"/>
      <c r="K1243" s="25"/>
      <c r="L1243" s="25"/>
      <c r="M1243" s="25"/>
      <c r="N1243" s="27"/>
      <c r="O1243" s="27"/>
      <c r="P1243" s="27"/>
      <c r="Q1243" s="27"/>
      <c r="R1243" s="27"/>
      <c r="S1243" s="28"/>
      <c r="T1243" s="29"/>
      <c r="U1243" s="29"/>
      <c r="V1243" s="24"/>
      <c r="W1243" s="24"/>
    </row>
    <row r="1244">
      <c r="A1244" s="41"/>
      <c r="B1244" s="25"/>
      <c r="C1244" s="25"/>
      <c r="D1244" s="25"/>
      <c r="E1244" s="25"/>
      <c r="F1244" s="26"/>
      <c r="G1244" s="25"/>
      <c r="H1244" s="25"/>
      <c r="I1244" s="25"/>
      <c r="J1244" s="25"/>
      <c r="K1244" s="25"/>
      <c r="L1244" s="25"/>
      <c r="M1244" s="25"/>
      <c r="N1244" s="27"/>
      <c r="O1244" s="27"/>
      <c r="P1244" s="27"/>
      <c r="Q1244" s="27"/>
      <c r="R1244" s="27"/>
      <c r="S1244" s="28"/>
      <c r="T1244" s="29"/>
      <c r="U1244" s="29"/>
      <c r="V1244" s="24"/>
      <c r="W1244" s="24"/>
    </row>
    <row r="1245">
      <c r="A1245" s="41"/>
      <c r="B1245" s="25"/>
      <c r="C1245" s="25"/>
      <c r="D1245" s="25"/>
      <c r="E1245" s="25"/>
      <c r="F1245" s="26"/>
      <c r="G1245" s="25"/>
      <c r="H1245" s="25"/>
      <c r="I1245" s="25"/>
      <c r="J1245" s="25"/>
      <c r="K1245" s="25"/>
      <c r="L1245" s="25"/>
      <c r="M1245" s="25"/>
      <c r="N1245" s="27"/>
      <c r="O1245" s="27"/>
      <c r="P1245" s="27"/>
      <c r="Q1245" s="27"/>
      <c r="R1245" s="27"/>
      <c r="S1245" s="28"/>
      <c r="T1245" s="29"/>
      <c r="U1245" s="29"/>
      <c r="V1245" s="24"/>
      <c r="W1245" s="24"/>
    </row>
    <row r="1246">
      <c r="A1246" s="41"/>
      <c r="B1246" s="25"/>
      <c r="C1246" s="25"/>
      <c r="D1246" s="25"/>
      <c r="E1246" s="25"/>
      <c r="F1246" s="26"/>
      <c r="G1246" s="25"/>
      <c r="H1246" s="25"/>
      <c r="I1246" s="25"/>
      <c r="J1246" s="25"/>
      <c r="K1246" s="25"/>
      <c r="L1246" s="25"/>
      <c r="M1246" s="25"/>
      <c r="N1246" s="27"/>
      <c r="O1246" s="27"/>
      <c r="P1246" s="27"/>
      <c r="Q1246" s="27"/>
      <c r="R1246" s="27"/>
      <c r="S1246" s="28"/>
      <c r="T1246" s="29"/>
      <c r="U1246" s="29"/>
      <c r="V1246" s="24"/>
      <c r="W1246" s="24"/>
    </row>
    <row r="1247">
      <c r="A1247" s="41"/>
      <c r="B1247" s="25"/>
      <c r="C1247" s="25"/>
      <c r="D1247" s="25"/>
      <c r="E1247" s="25"/>
      <c r="F1247" s="26"/>
      <c r="G1247" s="25"/>
      <c r="H1247" s="25"/>
      <c r="I1247" s="25"/>
      <c r="J1247" s="25"/>
      <c r="K1247" s="25"/>
      <c r="L1247" s="25"/>
      <c r="M1247" s="25"/>
      <c r="N1247" s="27"/>
      <c r="O1247" s="27"/>
      <c r="P1247" s="27"/>
      <c r="Q1247" s="27"/>
      <c r="R1247" s="27"/>
      <c r="S1247" s="28"/>
      <c r="T1247" s="29"/>
      <c r="U1247" s="29"/>
      <c r="V1247" s="24"/>
      <c r="W1247" s="24"/>
    </row>
    <row r="1248">
      <c r="A1248" s="41"/>
      <c r="B1248" s="25"/>
      <c r="C1248" s="25"/>
      <c r="D1248" s="25"/>
      <c r="E1248" s="25"/>
      <c r="F1248" s="26"/>
      <c r="G1248" s="25"/>
      <c r="H1248" s="25"/>
      <c r="I1248" s="25"/>
      <c r="J1248" s="25"/>
      <c r="K1248" s="25"/>
      <c r="L1248" s="25"/>
      <c r="M1248" s="25"/>
      <c r="N1248" s="27"/>
      <c r="O1248" s="27"/>
      <c r="P1248" s="27"/>
      <c r="Q1248" s="27"/>
      <c r="R1248" s="27"/>
      <c r="S1248" s="28"/>
      <c r="T1248" s="29"/>
      <c r="U1248" s="29"/>
      <c r="V1248" s="24"/>
      <c r="W1248" s="24"/>
    </row>
    <row r="1249">
      <c r="A1249" s="41"/>
      <c r="B1249" s="25"/>
      <c r="C1249" s="25"/>
      <c r="D1249" s="25"/>
      <c r="E1249" s="25"/>
      <c r="F1249" s="26"/>
      <c r="G1249" s="25"/>
      <c r="H1249" s="25"/>
      <c r="I1249" s="25"/>
      <c r="J1249" s="25"/>
      <c r="K1249" s="25"/>
      <c r="L1249" s="25"/>
      <c r="M1249" s="25"/>
      <c r="N1249" s="27"/>
      <c r="O1249" s="27"/>
      <c r="P1249" s="27"/>
      <c r="Q1249" s="27"/>
      <c r="R1249" s="27"/>
      <c r="S1249" s="28"/>
      <c r="T1249" s="29"/>
      <c r="U1249" s="29"/>
      <c r="V1249" s="24"/>
      <c r="W1249" s="24"/>
    </row>
    <row r="1250">
      <c r="A1250" s="41"/>
      <c r="B1250" s="25"/>
      <c r="C1250" s="25"/>
      <c r="D1250" s="25"/>
      <c r="E1250" s="25"/>
      <c r="F1250" s="26"/>
      <c r="G1250" s="25"/>
      <c r="H1250" s="25"/>
      <c r="I1250" s="25"/>
      <c r="J1250" s="25"/>
      <c r="K1250" s="25"/>
      <c r="L1250" s="25"/>
      <c r="M1250" s="25"/>
      <c r="N1250" s="27"/>
      <c r="O1250" s="27"/>
      <c r="P1250" s="27"/>
      <c r="Q1250" s="27"/>
      <c r="R1250" s="27"/>
      <c r="S1250" s="28"/>
      <c r="T1250" s="29"/>
      <c r="U1250" s="29"/>
      <c r="V1250" s="24"/>
      <c r="W1250" s="24"/>
    </row>
    <row r="1251">
      <c r="A1251" s="41"/>
      <c r="B1251" s="25"/>
      <c r="C1251" s="25"/>
      <c r="D1251" s="25"/>
      <c r="E1251" s="25"/>
      <c r="F1251" s="26"/>
      <c r="G1251" s="25"/>
      <c r="H1251" s="25"/>
      <c r="I1251" s="25"/>
      <c r="J1251" s="25"/>
      <c r="K1251" s="25"/>
      <c r="L1251" s="25"/>
      <c r="M1251" s="25"/>
      <c r="N1251" s="27"/>
      <c r="O1251" s="27"/>
      <c r="P1251" s="27"/>
      <c r="Q1251" s="27"/>
      <c r="R1251" s="27"/>
      <c r="S1251" s="28"/>
      <c r="T1251" s="29"/>
      <c r="U1251" s="29"/>
      <c r="V1251" s="24"/>
      <c r="W1251" s="24"/>
    </row>
    <row r="1252">
      <c r="A1252" s="41"/>
      <c r="B1252" s="25"/>
      <c r="C1252" s="25"/>
      <c r="D1252" s="25"/>
      <c r="E1252" s="25"/>
      <c r="F1252" s="26"/>
      <c r="G1252" s="25"/>
      <c r="H1252" s="25"/>
      <c r="I1252" s="25"/>
      <c r="J1252" s="25"/>
      <c r="K1252" s="25"/>
      <c r="L1252" s="25"/>
      <c r="M1252" s="25"/>
      <c r="N1252" s="27"/>
      <c r="O1252" s="27"/>
      <c r="P1252" s="27"/>
      <c r="Q1252" s="27"/>
      <c r="R1252" s="27"/>
      <c r="S1252" s="28"/>
      <c r="T1252" s="29"/>
      <c r="U1252" s="29"/>
      <c r="V1252" s="24"/>
      <c r="W1252" s="24"/>
    </row>
    <row r="1253">
      <c r="A1253" s="41"/>
      <c r="B1253" s="25"/>
      <c r="C1253" s="25"/>
      <c r="D1253" s="25"/>
      <c r="E1253" s="25"/>
      <c r="F1253" s="26"/>
      <c r="G1253" s="25"/>
      <c r="H1253" s="25"/>
      <c r="I1253" s="25"/>
      <c r="J1253" s="25"/>
      <c r="K1253" s="25"/>
      <c r="L1253" s="25"/>
      <c r="M1253" s="25"/>
      <c r="N1253" s="27"/>
      <c r="O1253" s="27"/>
      <c r="P1253" s="27"/>
      <c r="Q1253" s="27"/>
      <c r="R1253" s="27"/>
      <c r="S1253" s="28"/>
      <c r="T1253" s="29"/>
      <c r="U1253" s="29"/>
      <c r="V1253" s="24"/>
      <c r="W1253" s="24"/>
    </row>
    <row r="1254">
      <c r="A1254" s="41"/>
      <c r="B1254" s="25"/>
      <c r="C1254" s="25"/>
      <c r="D1254" s="25"/>
      <c r="E1254" s="25"/>
      <c r="F1254" s="26"/>
      <c r="G1254" s="25"/>
      <c r="H1254" s="25"/>
      <c r="I1254" s="25"/>
      <c r="J1254" s="25"/>
      <c r="K1254" s="25"/>
      <c r="L1254" s="25"/>
      <c r="M1254" s="25"/>
      <c r="N1254" s="27"/>
      <c r="O1254" s="27"/>
      <c r="P1254" s="27"/>
      <c r="Q1254" s="27"/>
      <c r="R1254" s="27"/>
      <c r="S1254" s="28"/>
      <c r="T1254" s="29"/>
      <c r="U1254" s="29"/>
      <c r="V1254" s="24"/>
      <c r="W1254" s="24"/>
    </row>
    <row r="1255">
      <c r="A1255" s="41"/>
      <c r="B1255" s="25"/>
      <c r="C1255" s="25"/>
      <c r="D1255" s="25"/>
      <c r="E1255" s="25"/>
      <c r="F1255" s="26"/>
      <c r="G1255" s="25"/>
      <c r="H1255" s="25"/>
      <c r="I1255" s="25"/>
      <c r="J1255" s="25"/>
      <c r="K1255" s="25"/>
      <c r="L1255" s="25"/>
      <c r="M1255" s="25"/>
      <c r="N1255" s="27"/>
      <c r="O1255" s="27"/>
      <c r="P1255" s="27"/>
      <c r="Q1255" s="27"/>
      <c r="R1255" s="27"/>
      <c r="S1255" s="28"/>
      <c r="T1255" s="29"/>
      <c r="U1255" s="29"/>
      <c r="V1255" s="24"/>
      <c r="W1255" s="24"/>
    </row>
    <row r="1256">
      <c r="A1256" s="41"/>
      <c r="B1256" s="25"/>
      <c r="C1256" s="25"/>
      <c r="D1256" s="25"/>
      <c r="E1256" s="25"/>
      <c r="F1256" s="26"/>
      <c r="G1256" s="25"/>
      <c r="H1256" s="25"/>
      <c r="I1256" s="25"/>
      <c r="J1256" s="25"/>
      <c r="K1256" s="25"/>
      <c r="L1256" s="25"/>
      <c r="M1256" s="25"/>
      <c r="N1256" s="27"/>
      <c r="O1256" s="27"/>
      <c r="P1256" s="27"/>
      <c r="Q1256" s="27"/>
      <c r="R1256" s="27"/>
      <c r="S1256" s="28"/>
      <c r="T1256" s="29"/>
      <c r="U1256" s="29"/>
      <c r="V1256" s="24"/>
      <c r="W1256" s="24"/>
    </row>
    <row r="1257">
      <c r="A1257" s="41"/>
      <c r="B1257" s="25"/>
      <c r="C1257" s="25"/>
      <c r="D1257" s="25"/>
      <c r="E1257" s="25"/>
      <c r="F1257" s="26"/>
      <c r="G1257" s="25"/>
      <c r="H1257" s="25"/>
      <c r="I1257" s="25"/>
      <c r="J1257" s="25"/>
      <c r="K1257" s="25"/>
      <c r="L1257" s="25"/>
      <c r="M1257" s="25"/>
      <c r="N1257" s="27"/>
      <c r="O1257" s="27"/>
      <c r="P1257" s="27"/>
      <c r="Q1257" s="27"/>
      <c r="R1257" s="27"/>
      <c r="S1257" s="28"/>
      <c r="T1257" s="29"/>
      <c r="U1257" s="29"/>
      <c r="V1257" s="24"/>
      <c r="W1257" s="24"/>
    </row>
    <row r="1258">
      <c r="A1258" s="41"/>
      <c r="B1258" s="25"/>
      <c r="C1258" s="25"/>
      <c r="D1258" s="25"/>
      <c r="E1258" s="25"/>
      <c r="F1258" s="26"/>
      <c r="G1258" s="25"/>
      <c r="H1258" s="25"/>
      <c r="I1258" s="25"/>
      <c r="J1258" s="25"/>
      <c r="K1258" s="25"/>
      <c r="L1258" s="25"/>
      <c r="M1258" s="25"/>
      <c r="N1258" s="27"/>
      <c r="O1258" s="27"/>
      <c r="P1258" s="27"/>
      <c r="Q1258" s="27"/>
      <c r="R1258" s="27"/>
      <c r="S1258" s="28"/>
      <c r="T1258" s="29"/>
      <c r="U1258" s="29"/>
      <c r="V1258" s="24"/>
      <c r="W1258" s="24"/>
    </row>
    <row r="1259">
      <c r="A1259" s="41"/>
      <c r="B1259" s="25"/>
      <c r="C1259" s="25"/>
      <c r="D1259" s="25"/>
      <c r="E1259" s="25"/>
      <c r="F1259" s="26"/>
      <c r="G1259" s="25"/>
      <c r="H1259" s="25"/>
      <c r="I1259" s="25"/>
      <c r="J1259" s="25"/>
      <c r="K1259" s="25"/>
      <c r="L1259" s="25"/>
      <c r="M1259" s="25"/>
      <c r="N1259" s="27"/>
      <c r="O1259" s="27"/>
      <c r="P1259" s="27"/>
      <c r="Q1259" s="27"/>
      <c r="R1259" s="27"/>
      <c r="S1259" s="28"/>
      <c r="T1259" s="29"/>
      <c r="U1259" s="29"/>
      <c r="V1259" s="24"/>
      <c r="W1259" s="24"/>
    </row>
    <row r="1260">
      <c r="A1260" s="41"/>
      <c r="B1260" s="25"/>
      <c r="C1260" s="25"/>
      <c r="D1260" s="25"/>
      <c r="E1260" s="25"/>
      <c r="F1260" s="26"/>
      <c r="G1260" s="25"/>
      <c r="H1260" s="25"/>
      <c r="I1260" s="25"/>
      <c r="J1260" s="25"/>
      <c r="K1260" s="25"/>
      <c r="L1260" s="25"/>
      <c r="M1260" s="25"/>
      <c r="N1260" s="27"/>
      <c r="O1260" s="27"/>
      <c r="P1260" s="27"/>
      <c r="Q1260" s="27"/>
      <c r="R1260" s="27"/>
      <c r="S1260" s="28"/>
      <c r="T1260" s="29"/>
      <c r="U1260" s="29"/>
      <c r="V1260" s="24"/>
      <c r="W1260" s="24"/>
    </row>
    <row r="1261">
      <c r="A1261" s="41"/>
      <c r="B1261" s="25"/>
      <c r="C1261" s="25"/>
      <c r="D1261" s="25"/>
      <c r="E1261" s="25"/>
      <c r="F1261" s="26"/>
      <c r="G1261" s="25"/>
      <c r="H1261" s="25"/>
      <c r="I1261" s="25"/>
      <c r="J1261" s="25"/>
      <c r="K1261" s="25"/>
      <c r="L1261" s="25"/>
      <c r="M1261" s="25"/>
      <c r="N1261" s="27"/>
      <c r="O1261" s="27"/>
      <c r="P1261" s="27"/>
      <c r="Q1261" s="27"/>
      <c r="R1261" s="27"/>
      <c r="S1261" s="28"/>
      <c r="T1261" s="29"/>
      <c r="U1261" s="29"/>
      <c r="V1261" s="24"/>
      <c r="W1261" s="24"/>
    </row>
    <row r="1262">
      <c r="A1262" s="41"/>
      <c r="B1262" s="25"/>
      <c r="C1262" s="25"/>
      <c r="D1262" s="25"/>
      <c r="E1262" s="25"/>
      <c r="F1262" s="26"/>
      <c r="G1262" s="25"/>
      <c r="H1262" s="25"/>
      <c r="I1262" s="25"/>
      <c r="J1262" s="25"/>
      <c r="K1262" s="25"/>
      <c r="L1262" s="25"/>
      <c r="M1262" s="25"/>
      <c r="N1262" s="27"/>
      <c r="O1262" s="27"/>
      <c r="P1262" s="27"/>
      <c r="Q1262" s="27"/>
      <c r="R1262" s="27"/>
      <c r="S1262" s="28"/>
      <c r="T1262" s="29"/>
      <c r="U1262" s="29"/>
      <c r="V1262" s="24"/>
      <c r="W1262" s="24"/>
    </row>
    <row r="1263">
      <c r="A1263" s="41"/>
      <c r="B1263" s="25"/>
      <c r="C1263" s="25"/>
      <c r="D1263" s="25"/>
      <c r="E1263" s="25"/>
      <c r="F1263" s="26"/>
      <c r="G1263" s="25"/>
      <c r="H1263" s="25"/>
      <c r="I1263" s="25"/>
      <c r="J1263" s="25"/>
      <c r="K1263" s="25"/>
      <c r="L1263" s="25"/>
      <c r="M1263" s="25"/>
      <c r="N1263" s="27"/>
      <c r="O1263" s="27"/>
      <c r="P1263" s="27"/>
      <c r="Q1263" s="27"/>
      <c r="R1263" s="27"/>
      <c r="S1263" s="28"/>
      <c r="T1263" s="29"/>
      <c r="U1263" s="29"/>
      <c r="V1263" s="24"/>
      <c r="W1263" s="24"/>
    </row>
    <row r="1264">
      <c r="A1264" s="41"/>
      <c r="B1264" s="25"/>
      <c r="C1264" s="25"/>
      <c r="D1264" s="25"/>
      <c r="E1264" s="25"/>
      <c r="F1264" s="26"/>
      <c r="G1264" s="25"/>
      <c r="H1264" s="25"/>
      <c r="I1264" s="25"/>
      <c r="J1264" s="25"/>
      <c r="K1264" s="25"/>
      <c r="L1264" s="25"/>
      <c r="M1264" s="25"/>
      <c r="N1264" s="27"/>
      <c r="O1264" s="27"/>
      <c r="P1264" s="27"/>
      <c r="Q1264" s="27"/>
      <c r="R1264" s="27"/>
      <c r="S1264" s="28"/>
      <c r="T1264" s="29"/>
      <c r="U1264" s="29"/>
      <c r="V1264" s="24"/>
      <c r="W1264" s="24"/>
    </row>
    <row r="1265">
      <c r="A1265" s="41"/>
      <c r="B1265" s="25"/>
      <c r="C1265" s="25"/>
      <c r="D1265" s="25"/>
      <c r="E1265" s="25"/>
      <c r="F1265" s="26"/>
      <c r="G1265" s="25"/>
      <c r="H1265" s="25"/>
      <c r="I1265" s="25"/>
      <c r="J1265" s="25"/>
      <c r="K1265" s="25"/>
      <c r="L1265" s="25"/>
      <c r="M1265" s="25"/>
      <c r="N1265" s="27"/>
      <c r="O1265" s="27"/>
      <c r="P1265" s="27"/>
      <c r="Q1265" s="27"/>
      <c r="R1265" s="27"/>
      <c r="S1265" s="28"/>
      <c r="T1265" s="29"/>
      <c r="U1265" s="29"/>
      <c r="V1265" s="24"/>
      <c r="W1265" s="24"/>
    </row>
    <row r="1266">
      <c r="A1266" s="41"/>
      <c r="B1266" s="25"/>
      <c r="C1266" s="25"/>
      <c r="D1266" s="25"/>
      <c r="E1266" s="25"/>
      <c r="F1266" s="26"/>
      <c r="G1266" s="25"/>
      <c r="H1266" s="25"/>
      <c r="I1266" s="25"/>
      <c r="J1266" s="25"/>
      <c r="K1266" s="25"/>
      <c r="L1266" s="25"/>
      <c r="M1266" s="25"/>
      <c r="N1266" s="27"/>
      <c r="O1266" s="27"/>
      <c r="P1266" s="27"/>
      <c r="Q1266" s="27"/>
      <c r="R1266" s="27"/>
      <c r="S1266" s="28"/>
      <c r="T1266" s="29"/>
      <c r="U1266" s="29"/>
      <c r="V1266" s="24"/>
      <c r="W1266" s="24"/>
    </row>
    <row r="1267">
      <c r="A1267" s="41"/>
      <c r="B1267" s="25"/>
      <c r="C1267" s="25"/>
      <c r="D1267" s="25"/>
      <c r="E1267" s="25"/>
      <c r="F1267" s="26"/>
      <c r="G1267" s="25"/>
      <c r="H1267" s="25"/>
      <c r="I1267" s="25"/>
      <c r="J1267" s="25"/>
      <c r="K1267" s="25"/>
      <c r="L1267" s="25"/>
      <c r="M1267" s="25"/>
      <c r="N1267" s="27"/>
      <c r="O1267" s="27"/>
      <c r="P1267" s="27"/>
      <c r="Q1267" s="27"/>
      <c r="R1267" s="27"/>
      <c r="S1267" s="28"/>
      <c r="T1267" s="29"/>
      <c r="U1267" s="29"/>
      <c r="V1267" s="24"/>
      <c r="W1267" s="24"/>
    </row>
    <row r="1268">
      <c r="A1268" s="41"/>
      <c r="B1268" s="25"/>
      <c r="C1268" s="25"/>
      <c r="D1268" s="25"/>
      <c r="E1268" s="25"/>
      <c r="F1268" s="26"/>
      <c r="G1268" s="25"/>
      <c r="H1268" s="25"/>
      <c r="I1268" s="25"/>
      <c r="J1268" s="25"/>
      <c r="K1268" s="25"/>
      <c r="L1268" s="25"/>
      <c r="M1268" s="25"/>
      <c r="N1268" s="27"/>
      <c r="O1268" s="27"/>
      <c r="P1268" s="27"/>
      <c r="Q1268" s="27"/>
      <c r="R1268" s="27"/>
      <c r="S1268" s="28"/>
      <c r="T1268" s="29"/>
      <c r="U1268" s="29"/>
      <c r="V1268" s="24"/>
      <c r="W1268" s="24"/>
    </row>
    <row r="1269">
      <c r="A1269" s="41"/>
      <c r="B1269" s="25"/>
      <c r="C1269" s="25"/>
      <c r="D1269" s="25"/>
      <c r="E1269" s="25"/>
      <c r="F1269" s="26"/>
      <c r="G1269" s="25"/>
      <c r="H1269" s="25"/>
      <c r="I1269" s="25"/>
      <c r="J1269" s="25"/>
      <c r="K1269" s="25"/>
      <c r="L1269" s="25"/>
      <c r="M1269" s="25"/>
      <c r="N1269" s="27"/>
      <c r="O1269" s="27"/>
      <c r="P1269" s="27"/>
      <c r="Q1269" s="27"/>
      <c r="R1269" s="27"/>
      <c r="S1269" s="28"/>
      <c r="T1269" s="29"/>
      <c r="U1269" s="29"/>
      <c r="V1269" s="24"/>
      <c r="W1269" s="24"/>
    </row>
    <row r="1270">
      <c r="A1270" s="41"/>
      <c r="B1270" s="25"/>
      <c r="C1270" s="25"/>
      <c r="D1270" s="25"/>
      <c r="E1270" s="25"/>
      <c r="F1270" s="26"/>
      <c r="G1270" s="25"/>
      <c r="H1270" s="25"/>
      <c r="I1270" s="25"/>
      <c r="J1270" s="25"/>
      <c r="K1270" s="25"/>
      <c r="L1270" s="25"/>
      <c r="M1270" s="25"/>
      <c r="N1270" s="27"/>
      <c r="O1270" s="27"/>
      <c r="P1270" s="27"/>
      <c r="Q1270" s="27"/>
      <c r="R1270" s="27"/>
      <c r="S1270" s="28"/>
      <c r="T1270" s="29"/>
      <c r="U1270" s="29"/>
      <c r="V1270" s="24"/>
      <c r="W1270" s="24"/>
    </row>
    <row r="1271">
      <c r="A1271" s="41"/>
      <c r="B1271" s="25"/>
      <c r="C1271" s="25"/>
      <c r="D1271" s="25"/>
      <c r="E1271" s="25"/>
      <c r="F1271" s="26"/>
      <c r="G1271" s="25"/>
      <c r="H1271" s="25"/>
      <c r="I1271" s="25"/>
      <c r="J1271" s="25"/>
      <c r="K1271" s="25"/>
      <c r="L1271" s="25"/>
      <c r="M1271" s="25"/>
      <c r="N1271" s="27"/>
      <c r="O1271" s="27"/>
      <c r="P1271" s="27"/>
      <c r="Q1271" s="27"/>
      <c r="R1271" s="27"/>
      <c r="S1271" s="28"/>
      <c r="T1271" s="29"/>
      <c r="U1271" s="29"/>
      <c r="V1271" s="24"/>
      <c r="W1271" s="24"/>
    </row>
    <row r="1272">
      <c r="A1272" s="41"/>
      <c r="B1272" s="25"/>
      <c r="C1272" s="25"/>
      <c r="D1272" s="25"/>
      <c r="E1272" s="25"/>
      <c r="F1272" s="26"/>
      <c r="G1272" s="25"/>
      <c r="H1272" s="25"/>
      <c r="I1272" s="25"/>
      <c r="J1272" s="25"/>
      <c r="K1272" s="25"/>
      <c r="L1272" s="25"/>
      <c r="M1272" s="25"/>
      <c r="N1272" s="27"/>
      <c r="O1272" s="27"/>
      <c r="P1272" s="27"/>
      <c r="Q1272" s="27"/>
      <c r="R1272" s="27"/>
      <c r="S1272" s="28"/>
      <c r="T1272" s="29"/>
      <c r="U1272" s="29"/>
      <c r="V1272" s="24"/>
      <c r="W1272" s="24"/>
    </row>
    <row r="1273">
      <c r="A1273" s="41"/>
      <c r="B1273" s="25"/>
      <c r="C1273" s="25"/>
      <c r="D1273" s="25"/>
      <c r="E1273" s="25"/>
      <c r="F1273" s="26"/>
      <c r="G1273" s="25"/>
      <c r="H1273" s="25"/>
      <c r="I1273" s="25"/>
      <c r="J1273" s="25"/>
      <c r="K1273" s="25"/>
      <c r="L1273" s="25"/>
      <c r="M1273" s="25"/>
      <c r="N1273" s="27"/>
      <c r="O1273" s="27"/>
      <c r="P1273" s="27"/>
      <c r="Q1273" s="27"/>
      <c r="R1273" s="27"/>
      <c r="S1273" s="28"/>
      <c r="T1273" s="29"/>
      <c r="U1273" s="29"/>
      <c r="V1273" s="24"/>
      <c r="W1273" s="24"/>
    </row>
    <row r="1274">
      <c r="A1274" s="41"/>
      <c r="B1274" s="25"/>
      <c r="C1274" s="25"/>
      <c r="D1274" s="25"/>
      <c r="E1274" s="25"/>
      <c r="F1274" s="26"/>
      <c r="G1274" s="25"/>
      <c r="H1274" s="25"/>
      <c r="I1274" s="25"/>
      <c r="J1274" s="25"/>
      <c r="K1274" s="25"/>
      <c r="L1274" s="25"/>
      <c r="M1274" s="25"/>
      <c r="N1274" s="27"/>
      <c r="O1274" s="27"/>
      <c r="P1274" s="27"/>
      <c r="Q1274" s="27"/>
      <c r="R1274" s="27"/>
      <c r="S1274" s="28"/>
      <c r="T1274" s="29"/>
      <c r="U1274" s="29"/>
      <c r="V1274" s="24"/>
      <c r="W1274" s="24"/>
    </row>
    <row r="1275">
      <c r="A1275" s="41"/>
      <c r="B1275" s="25"/>
      <c r="C1275" s="25"/>
      <c r="D1275" s="25"/>
      <c r="E1275" s="25"/>
      <c r="F1275" s="26"/>
      <c r="G1275" s="25"/>
      <c r="H1275" s="25"/>
      <c r="I1275" s="25"/>
      <c r="J1275" s="25"/>
      <c r="K1275" s="25"/>
      <c r="L1275" s="25"/>
      <c r="M1275" s="25"/>
      <c r="N1275" s="27"/>
      <c r="O1275" s="27"/>
      <c r="P1275" s="27"/>
      <c r="Q1275" s="27"/>
      <c r="R1275" s="27"/>
      <c r="S1275" s="28"/>
      <c r="T1275" s="29"/>
      <c r="U1275" s="29"/>
      <c r="V1275" s="24"/>
      <c r="W1275" s="24"/>
    </row>
    <row r="1276">
      <c r="A1276" s="41"/>
      <c r="B1276" s="25"/>
      <c r="C1276" s="25"/>
      <c r="D1276" s="25"/>
      <c r="E1276" s="25"/>
      <c r="F1276" s="26"/>
      <c r="G1276" s="25"/>
      <c r="H1276" s="25"/>
      <c r="I1276" s="25"/>
      <c r="J1276" s="25"/>
      <c r="K1276" s="25"/>
      <c r="L1276" s="25"/>
      <c r="M1276" s="25"/>
      <c r="N1276" s="27"/>
      <c r="O1276" s="27"/>
      <c r="P1276" s="27"/>
      <c r="Q1276" s="27"/>
      <c r="R1276" s="27"/>
      <c r="S1276" s="28"/>
      <c r="T1276" s="29"/>
      <c r="U1276" s="29"/>
      <c r="V1276" s="24"/>
      <c r="W1276" s="24"/>
    </row>
    <row r="1277">
      <c r="A1277" s="41"/>
      <c r="B1277" s="25"/>
      <c r="C1277" s="25"/>
      <c r="D1277" s="25"/>
      <c r="E1277" s="25"/>
      <c r="F1277" s="26"/>
      <c r="G1277" s="25"/>
      <c r="H1277" s="25"/>
      <c r="I1277" s="25"/>
      <c r="J1277" s="25"/>
      <c r="K1277" s="25"/>
      <c r="L1277" s="25"/>
      <c r="M1277" s="25"/>
      <c r="N1277" s="27"/>
      <c r="O1277" s="27"/>
      <c r="P1277" s="27"/>
      <c r="Q1277" s="27"/>
      <c r="R1277" s="27"/>
      <c r="S1277" s="28"/>
      <c r="T1277" s="29"/>
      <c r="U1277" s="29"/>
      <c r="V1277" s="24"/>
      <c r="W1277" s="24"/>
    </row>
    <row r="1278">
      <c r="A1278" s="41"/>
      <c r="B1278" s="25"/>
      <c r="C1278" s="25"/>
      <c r="D1278" s="25"/>
      <c r="E1278" s="25"/>
      <c r="F1278" s="26"/>
      <c r="G1278" s="25"/>
      <c r="H1278" s="25"/>
      <c r="I1278" s="25"/>
      <c r="J1278" s="25"/>
      <c r="K1278" s="25"/>
      <c r="L1278" s="25"/>
      <c r="M1278" s="25"/>
      <c r="N1278" s="27"/>
      <c r="O1278" s="27"/>
      <c r="P1278" s="27"/>
      <c r="Q1278" s="27"/>
      <c r="R1278" s="27"/>
      <c r="S1278" s="28"/>
      <c r="T1278" s="29"/>
      <c r="U1278" s="29"/>
      <c r="V1278" s="24"/>
      <c r="W1278" s="24"/>
    </row>
    <row r="1279">
      <c r="A1279" s="41"/>
      <c r="B1279" s="25"/>
      <c r="C1279" s="25"/>
      <c r="D1279" s="25"/>
      <c r="E1279" s="25"/>
      <c r="F1279" s="26"/>
      <c r="G1279" s="25"/>
      <c r="H1279" s="25"/>
      <c r="I1279" s="25"/>
      <c r="J1279" s="25"/>
      <c r="K1279" s="25"/>
      <c r="L1279" s="25"/>
      <c r="M1279" s="25"/>
      <c r="N1279" s="27"/>
      <c r="O1279" s="27"/>
      <c r="P1279" s="27"/>
      <c r="Q1279" s="27"/>
      <c r="R1279" s="27"/>
      <c r="S1279" s="28"/>
      <c r="T1279" s="29"/>
      <c r="U1279" s="29"/>
      <c r="V1279" s="24"/>
      <c r="W1279" s="24"/>
    </row>
    <row r="1280">
      <c r="A1280" s="41"/>
      <c r="B1280" s="25"/>
      <c r="C1280" s="25"/>
      <c r="D1280" s="25"/>
      <c r="E1280" s="25"/>
      <c r="F1280" s="26"/>
      <c r="G1280" s="25"/>
      <c r="H1280" s="25"/>
      <c r="I1280" s="25"/>
      <c r="J1280" s="25"/>
      <c r="K1280" s="25"/>
      <c r="L1280" s="25"/>
      <c r="M1280" s="25"/>
      <c r="N1280" s="27"/>
      <c r="O1280" s="27"/>
      <c r="P1280" s="27"/>
      <c r="Q1280" s="27"/>
      <c r="R1280" s="27"/>
      <c r="S1280" s="28"/>
      <c r="T1280" s="29"/>
      <c r="U1280" s="29"/>
      <c r="V1280" s="24"/>
      <c r="W1280" s="24"/>
    </row>
    <row r="1281">
      <c r="A1281" s="41"/>
      <c r="B1281" s="25"/>
      <c r="C1281" s="25"/>
      <c r="D1281" s="25"/>
      <c r="E1281" s="25"/>
      <c r="F1281" s="26"/>
      <c r="G1281" s="25"/>
      <c r="H1281" s="25"/>
      <c r="I1281" s="25"/>
      <c r="J1281" s="25"/>
      <c r="K1281" s="25"/>
      <c r="L1281" s="25"/>
      <c r="M1281" s="25"/>
      <c r="N1281" s="27"/>
      <c r="O1281" s="27"/>
      <c r="P1281" s="27"/>
      <c r="Q1281" s="27"/>
      <c r="R1281" s="27"/>
      <c r="S1281" s="28"/>
      <c r="T1281" s="29"/>
      <c r="U1281" s="29"/>
      <c r="V1281" s="24"/>
      <c r="W1281" s="24"/>
    </row>
    <row r="1282">
      <c r="A1282" s="41"/>
      <c r="B1282" s="25"/>
      <c r="C1282" s="25"/>
      <c r="D1282" s="25"/>
      <c r="E1282" s="25"/>
      <c r="F1282" s="26"/>
      <c r="G1282" s="25"/>
      <c r="H1282" s="25"/>
      <c r="I1282" s="25"/>
      <c r="J1282" s="25"/>
      <c r="K1282" s="25"/>
      <c r="L1282" s="25"/>
      <c r="M1282" s="25"/>
      <c r="N1282" s="27"/>
      <c r="O1282" s="27"/>
      <c r="P1282" s="27"/>
      <c r="Q1282" s="27"/>
      <c r="R1282" s="27"/>
      <c r="S1282" s="28"/>
      <c r="T1282" s="29"/>
      <c r="U1282" s="29"/>
      <c r="V1282" s="24"/>
      <c r="W1282" s="24"/>
    </row>
    <row r="1283">
      <c r="A1283" s="41"/>
      <c r="B1283" s="25"/>
      <c r="C1283" s="25"/>
      <c r="D1283" s="25"/>
      <c r="E1283" s="25"/>
      <c r="F1283" s="26"/>
      <c r="G1283" s="25"/>
      <c r="H1283" s="25"/>
      <c r="I1283" s="25"/>
      <c r="J1283" s="25"/>
      <c r="K1283" s="25"/>
      <c r="L1283" s="25"/>
      <c r="M1283" s="25"/>
      <c r="N1283" s="27"/>
      <c r="O1283" s="27"/>
      <c r="P1283" s="27"/>
      <c r="Q1283" s="27"/>
      <c r="R1283" s="27"/>
      <c r="S1283" s="28"/>
      <c r="T1283" s="29"/>
      <c r="U1283" s="29"/>
      <c r="V1283" s="24"/>
      <c r="W1283" s="24"/>
    </row>
    <row r="1284">
      <c r="A1284" s="41"/>
      <c r="B1284" s="25"/>
      <c r="C1284" s="25"/>
      <c r="D1284" s="25"/>
      <c r="E1284" s="25"/>
      <c r="F1284" s="26"/>
      <c r="G1284" s="25"/>
      <c r="H1284" s="25"/>
      <c r="I1284" s="25"/>
      <c r="J1284" s="25"/>
      <c r="K1284" s="25"/>
      <c r="L1284" s="25"/>
      <c r="M1284" s="25"/>
      <c r="N1284" s="27"/>
      <c r="O1284" s="27"/>
      <c r="P1284" s="27"/>
      <c r="Q1284" s="27"/>
      <c r="R1284" s="27"/>
      <c r="S1284" s="28"/>
      <c r="T1284" s="29"/>
      <c r="U1284" s="29"/>
      <c r="V1284" s="24"/>
      <c r="W1284" s="24"/>
    </row>
    <row r="1285">
      <c r="A1285" s="41"/>
      <c r="B1285" s="25"/>
      <c r="C1285" s="25"/>
      <c r="D1285" s="25"/>
      <c r="E1285" s="25"/>
      <c r="F1285" s="26"/>
      <c r="G1285" s="25"/>
      <c r="H1285" s="25"/>
      <c r="I1285" s="25"/>
      <c r="J1285" s="25"/>
      <c r="K1285" s="25"/>
      <c r="L1285" s="25"/>
      <c r="M1285" s="25"/>
      <c r="N1285" s="27"/>
      <c r="O1285" s="27"/>
      <c r="P1285" s="27"/>
      <c r="Q1285" s="27"/>
      <c r="R1285" s="27"/>
      <c r="S1285" s="28"/>
      <c r="T1285" s="29"/>
      <c r="U1285" s="29"/>
      <c r="V1285" s="24"/>
      <c r="W1285" s="24"/>
    </row>
    <row r="1286">
      <c r="A1286" s="41"/>
      <c r="B1286" s="25"/>
      <c r="C1286" s="25"/>
      <c r="D1286" s="25"/>
      <c r="E1286" s="25"/>
      <c r="F1286" s="26"/>
      <c r="G1286" s="25"/>
      <c r="H1286" s="25"/>
      <c r="I1286" s="25"/>
      <c r="J1286" s="25"/>
      <c r="K1286" s="25"/>
      <c r="L1286" s="25"/>
      <c r="M1286" s="25"/>
      <c r="N1286" s="27"/>
      <c r="O1286" s="27"/>
      <c r="P1286" s="27"/>
      <c r="Q1286" s="27"/>
      <c r="R1286" s="27"/>
      <c r="S1286" s="28"/>
      <c r="T1286" s="29"/>
      <c r="U1286" s="29"/>
      <c r="V1286" s="24"/>
      <c r="W1286" s="24"/>
    </row>
    <row r="1287">
      <c r="A1287" s="41"/>
      <c r="B1287" s="25"/>
      <c r="C1287" s="25"/>
      <c r="D1287" s="25"/>
      <c r="E1287" s="25"/>
      <c r="F1287" s="26"/>
      <c r="G1287" s="25"/>
      <c r="H1287" s="25"/>
      <c r="I1287" s="25"/>
      <c r="J1287" s="25"/>
      <c r="K1287" s="25"/>
      <c r="L1287" s="25"/>
      <c r="M1287" s="25"/>
      <c r="N1287" s="27"/>
      <c r="O1287" s="27"/>
      <c r="P1287" s="27"/>
      <c r="Q1287" s="27"/>
      <c r="R1287" s="27"/>
      <c r="S1287" s="28"/>
      <c r="T1287" s="29"/>
      <c r="U1287" s="29"/>
      <c r="V1287" s="24"/>
      <c r="W1287" s="24"/>
    </row>
    <row r="1288">
      <c r="A1288" s="41"/>
      <c r="B1288" s="25"/>
      <c r="C1288" s="25"/>
      <c r="D1288" s="25"/>
      <c r="E1288" s="25"/>
      <c r="F1288" s="26"/>
      <c r="G1288" s="25"/>
      <c r="H1288" s="25"/>
      <c r="I1288" s="25"/>
      <c r="J1288" s="25"/>
      <c r="K1288" s="25"/>
      <c r="L1288" s="25"/>
      <c r="M1288" s="25"/>
      <c r="N1288" s="27"/>
      <c r="O1288" s="27"/>
      <c r="P1288" s="27"/>
      <c r="Q1288" s="27"/>
      <c r="R1288" s="27"/>
      <c r="S1288" s="28"/>
      <c r="T1288" s="29"/>
      <c r="U1288" s="29"/>
      <c r="V1288" s="24"/>
      <c r="W1288" s="24"/>
    </row>
    <row r="1289">
      <c r="A1289" s="41"/>
      <c r="B1289" s="25"/>
      <c r="C1289" s="25"/>
      <c r="D1289" s="25"/>
      <c r="E1289" s="25"/>
      <c r="F1289" s="26"/>
      <c r="G1289" s="25"/>
      <c r="H1289" s="25"/>
      <c r="I1289" s="25"/>
      <c r="J1289" s="25"/>
      <c r="K1289" s="25"/>
      <c r="L1289" s="25"/>
      <c r="M1289" s="25"/>
      <c r="N1289" s="27"/>
      <c r="O1289" s="27"/>
      <c r="P1289" s="27"/>
      <c r="Q1289" s="27"/>
      <c r="R1289" s="27"/>
      <c r="S1289" s="28"/>
      <c r="T1289" s="29"/>
      <c r="U1289" s="29"/>
      <c r="V1289" s="24"/>
      <c r="W1289" s="24"/>
    </row>
    <row r="1290">
      <c r="A1290" s="41"/>
      <c r="B1290" s="25"/>
      <c r="C1290" s="25"/>
      <c r="D1290" s="25"/>
      <c r="E1290" s="25"/>
      <c r="F1290" s="26"/>
      <c r="G1290" s="25"/>
      <c r="H1290" s="25"/>
      <c r="I1290" s="25"/>
      <c r="J1290" s="25"/>
      <c r="K1290" s="25"/>
      <c r="L1290" s="25"/>
      <c r="M1290" s="25"/>
      <c r="N1290" s="27"/>
      <c r="O1290" s="27"/>
      <c r="P1290" s="27"/>
      <c r="Q1290" s="27"/>
      <c r="R1290" s="27"/>
      <c r="S1290" s="28"/>
      <c r="T1290" s="29"/>
      <c r="U1290" s="29"/>
      <c r="V1290" s="24"/>
      <c r="W1290" s="24"/>
    </row>
    <row r="1291">
      <c r="A1291" s="41"/>
      <c r="B1291" s="25"/>
      <c r="C1291" s="25"/>
      <c r="D1291" s="25"/>
      <c r="E1291" s="25"/>
      <c r="F1291" s="26"/>
      <c r="G1291" s="25"/>
      <c r="H1291" s="25"/>
      <c r="I1291" s="25"/>
      <c r="J1291" s="25"/>
      <c r="K1291" s="25"/>
      <c r="L1291" s="25"/>
      <c r="M1291" s="25"/>
      <c r="N1291" s="27"/>
      <c r="O1291" s="27"/>
      <c r="P1291" s="27"/>
      <c r="Q1291" s="27"/>
      <c r="R1291" s="27"/>
      <c r="S1291" s="28"/>
      <c r="T1291" s="29"/>
      <c r="U1291" s="29"/>
      <c r="V1291" s="24"/>
      <c r="W1291" s="24"/>
    </row>
    <row r="1292">
      <c r="A1292" s="41"/>
      <c r="B1292" s="25"/>
      <c r="C1292" s="25"/>
      <c r="D1292" s="25"/>
      <c r="E1292" s="25"/>
      <c r="F1292" s="26"/>
      <c r="G1292" s="25"/>
      <c r="H1292" s="25"/>
      <c r="I1292" s="25"/>
      <c r="J1292" s="25"/>
      <c r="K1292" s="25"/>
      <c r="L1292" s="25"/>
      <c r="M1292" s="25"/>
      <c r="N1292" s="27"/>
      <c r="O1292" s="27"/>
      <c r="P1292" s="27"/>
      <c r="Q1292" s="27"/>
      <c r="R1292" s="27"/>
      <c r="S1292" s="28"/>
      <c r="T1292" s="29"/>
      <c r="U1292" s="29"/>
      <c r="V1292" s="24"/>
      <c r="W1292" s="24"/>
    </row>
    <row r="1293">
      <c r="A1293" s="41"/>
      <c r="B1293" s="25"/>
      <c r="C1293" s="25"/>
      <c r="D1293" s="25"/>
      <c r="E1293" s="25"/>
      <c r="F1293" s="26"/>
      <c r="G1293" s="25"/>
      <c r="H1293" s="25"/>
      <c r="I1293" s="25"/>
      <c r="J1293" s="25"/>
      <c r="K1293" s="25"/>
      <c r="L1293" s="25"/>
      <c r="M1293" s="25"/>
      <c r="N1293" s="27"/>
      <c r="O1293" s="27"/>
      <c r="P1293" s="27"/>
      <c r="Q1293" s="27"/>
      <c r="R1293" s="27"/>
      <c r="S1293" s="28"/>
      <c r="T1293" s="29"/>
      <c r="U1293" s="29"/>
      <c r="V1293" s="24"/>
      <c r="W1293" s="24"/>
    </row>
    <row r="1294">
      <c r="A1294" s="41"/>
      <c r="B1294" s="25"/>
      <c r="C1294" s="25"/>
      <c r="D1294" s="25"/>
      <c r="E1294" s="25"/>
      <c r="F1294" s="26"/>
      <c r="G1294" s="25"/>
      <c r="H1294" s="25"/>
      <c r="I1294" s="25"/>
      <c r="J1294" s="25"/>
      <c r="K1294" s="25"/>
      <c r="L1294" s="25"/>
      <c r="M1294" s="25"/>
      <c r="N1294" s="27"/>
      <c r="O1294" s="27"/>
      <c r="P1294" s="27"/>
      <c r="Q1294" s="27"/>
      <c r="R1294" s="27"/>
      <c r="S1294" s="28"/>
      <c r="T1294" s="29"/>
      <c r="U1294" s="29"/>
      <c r="V1294" s="24"/>
      <c r="W1294" s="24"/>
    </row>
    <row r="1295">
      <c r="A1295" s="41"/>
      <c r="B1295" s="25"/>
      <c r="C1295" s="25"/>
      <c r="D1295" s="25"/>
      <c r="E1295" s="25"/>
      <c r="F1295" s="26"/>
      <c r="G1295" s="25"/>
      <c r="H1295" s="25"/>
      <c r="I1295" s="25"/>
      <c r="J1295" s="25"/>
      <c r="K1295" s="25"/>
      <c r="L1295" s="25"/>
      <c r="M1295" s="25"/>
      <c r="N1295" s="27"/>
      <c r="O1295" s="27"/>
      <c r="P1295" s="27"/>
      <c r="Q1295" s="27"/>
      <c r="R1295" s="27"/>
      <c r="S1295" s="28"/>
      <c r="T1295" s="29"/>
      <c r="U1295" s="29"/>
      <c r="V1295" s="24"/>
      <c r="W1295" s="24"/>
    </row>
    <row r="1296">
      <c r="A1296" s="41"/>
      <c r="B1296" s="25"/>
      <c r="C1296" s="25"/>
      <c r="D1296" s="25"/>
      <c r="E1296" s="25"/>
      <c r="F1296" s="26"/>
      <c r="G1296" s="25"/>
      <c r="H1296" s="25"/>
      <c r="I1296" s="25"/>
      <c r="J1296" s="25"/>
      <c r="K1296" s="25"/>
      <c r="L1296" s="25"/>
      <c r="M1296" s="25"/>
      <c r="N1296" s="27"/>
      <c r="O1296" s="27"/>
      <c r="P1296" s="27"/>
      <c r="Q1296" s="27"/>
      <c r="R1296" s="27"/>
      <c r="S1296" s="28"/>
      <c r="T1296" s="29"/>
      <c r="U1296" s="29"/>
      <c r="V1296" s="24"/>
      <c r="W1296" s="24"/>
    </row>
    <row r="1297">
      <c r="A1297" s="41"/>
      <c r="B1297" s="25"/>
      <c r="C1297" s="25"/>
      <c r="D1297" s="25"/>
      <c r="E1297" s="25"/>
      <c r="F1297" s="26"/>
      <c r="G1297" s="25"/>
      <c r="H1297" s="25"/>
      <c r="I1297" s="25"/>
      <c r="J1297" s="25"/>
      <c r="K1297" s="25"/>
      <c r="L1297" s="25"/>
      <c r="M1297" s="25"/>
      <c r="N1297" s="27"/>
      <c r="O1297" s="27"/>
      <c r="P1297" s="27"/>
      <c r="Q1297" s="27"/>
      <c r="R1297" s="27"/>
      <c r="S1297" s="28"/>
      <c r="T1297" s="29"/>
      <c r="U1297" s="29"/>
      <c r="V1297" s="24"/>
      <c r="W1297" s="24"/>
    </row>
    <row r="1298">
      <c r="A1298" s="41"/>
      <c r="B1298" s="25"/>
      <c r="C1298" s="25"/>
      <c r="D1298" s="25"/>
      <c r="E1298" s="25"/>
      <c r="F1298" s="26"/>
      <c r="G1298" s="25"/>
      <c r="H1298" s="25"/>
      <c r="I1298" s="25"/>
      <c r="J1298" s="25"/>
      <c r="K1298" s="25"/>
      <c r="L1298" s="25"/>
      <c r="M1298" s="25"/>
      <c r="N1298" s="27"/>
      <c r="O1298" s="27"/>
      <c r="P1298" s="27"/>
      <c r="Q1298" s="27"/>
      <c r="R1298" s="27"/>
      <c r="S1298" s="28"/>
      <c r="T1298" s="29"/>
      <c r="U1298" s="29"/>
      <c r="V1298" s="24"/>
      <c r="W1298" s="24"/>
    </row>
    <row r="1299">
      <c r="A1299" s="41"/>
      <c r="B1299" s="25"/>
      <c r="C1299" s="25"/>
      <c r="D1299" s="25"/>
      <c r="E1299" s="25"/>
      <c r="F1299" s="26"/>
      <c r="G1299" s="25"/>
      <c r="H1299" s="25"/>
      <c r="I1299" s="25"/>
      <c r="J1299" s="25"/>
      <c r="K1299" s="25"/>
      <c r="L1299" s="25"/>
      <c r="M1299" s="25"/>
      <c r="N1299" s="27"/>
      <c r="O1299" s="27"/>
      <c r="P1299" s="27"/>
      <c r="Q1299" s="27"/>
      <c r="R1299" s="27"/>
      <c r="S1299" s="28"/>
      <c r="T1299" s="29"/>
      <c r="U1299" s="29"/>
      <c r="V1299" s="24"/>
      <c r="W1299" s="24"/>
    </row>
    <row r="1300">
      <c r="A1300" s="41"/>
      <c r="B1300" s="25"/>
      <c r="C1300" s="25"/>
      <c r="D1300" s="25"/>
      <c r="E1300" s="25"/>
      <c r="F1300" s="26"/>
      <c r="G1300" s="25"/>
      <c r="H1300" s="25"/>
      <c r="I1300" s="25"/>
      <c r="J1300" s="25"/>
      <c r="K1300" s="25"/>
      <c r="L1300" s="25"/>
      <c r="M1300" s="25"/>
      <c r="N1300" s="27"/>
      <c r="O1300" s="27"/>
      <c r="P1300" s="27"/>
      <c r="Q1300" s="27"/>
      <c r="R1300" s="27"/>
      <c r="S1300" s="28"/>
      <c r="T1300" s="29"/>
      <c r="U1300" s="29"/>
      <c r="V1300" s="24"/>
      <c r="W1300" s="24"/>
    </row>
    <row r="1301">
      <c r="A1301" s="41"/>
      <c r="B1301" s="25"/>
      <c r="C1301" s="25"/>
      <c r="D1301" s="25"/>
      <c r="E1301" s="25"/>
      <c r="F1301" s="26"/>
      <c r="G1301" s="25"/>
      <c r="H1301" s="25"/>
      <c r="I1301" s="25"/>
      <c r="J1301" s="25"/>
      <c r="K1301" s="25"/>
      <c r="L1301" s="25"/>
      <c r="M1301" s="25"/>
      <c r="N1301" s="27"/>
      <c r="O1301" s="27"/>
      <c r="P1301" s="27"/>
      <c r="Q1301" s="27"/>
      <c r="R1301" s="27"/>
      <c r="S1301" s="28"/>
      <c r="T1301" s="29"/>
      <c r="U1301" s="29"/>
      <c r="V1301" s="24"/>
      <c r="W1301" s="24"/>
    </row>
    <row r="1302">
      <c r="A1302" s="41"/>
      <c r="B1302" s="25"/>
      <c r="C1302" s="25"/>
      <c r="D1302" s="25"/>
      <c r="E1302" s="25"/>
      <c r="F1302" s="26"/>
      <c r="G1302" s="25"/>
      <c r="H1302" s="25"/>
      <c r="I1302" s="25"/>
      <c r="J1302" s="25"/>
      <c r="K1302" s="25"/>
      <c r="L1302" s="25"/>
      <c r="M1302" s="25"/>
      <c r="N1302" s="27"/>
      <c r="O1302" s="27"/>
      <c r="P1302" s="27"/>
      <c r="Q1302" s="27"/>
      <c r="R1302" s="27"/>
      <c r="S1302" s="28"/>
      <c r="T1302" s="29"/>
      <c r="U1302" s="29"/>
      <c r="V1302" s="24"/>
      <c r="W1302" s="24"/>
    </row>
    <row r="1303">
      <c r="A1303" s="41"/>
      <c r="B1303" s="25"/>
      <c r="C1303" s="25"/>
      <c r="D1303" s="25"/>
      <c r="E1303" s="25"/>
      <c r="F1303" s="26"/>
      <c r="G1303" s="25"/>
      <c r="H1303" s="25"/>
      <c r="I1303" s="25"/>
      <c r="J1303" s="25"/>
      <c r="K1303" s="25"/>
      <c r="L1303" s="25"/>
      <c r="M1303" s="25"/>
      <c r="N1303" s="27"/>
      <c r="O1303" s="27"/>
      <c r="P1303" s="27"/>
      <c r="Q1303" s="27"/>
      <c r="R1303" s="27"/>
      <c r="S1303" s="28"/>
      <c r="T1303" s="29"/>
      <c r="U1303" s="29"/>
      <c r="V1303" s="24"/>
      <c r="W1303" s="24"/>
    </row>
    <row r="1304">
      <c r="A1304" s="41"/>
      <c r="B1304" s="25"/>
      <c r="C1304" s="25"/>
      <c r="D1304" s="25"/>
      <c r="E1304" s="25"/>
      <c r="F1304" s="26"/>
      <c r="G1304" s="25"/>
      <c r="H1304" s="25"/>
      <c r="I1304" s="25"/>
      <c r="J1304" s="25"/>
      <c r="K1304" s="25"/>
      <c r="L1304" s="25"/>
      <c r="M1304" s="25"/>
      <c r="N1304" s="27"/>
      <c r="O1304" s="27"/>
      <c r="P1304" s="27"/>
      <c r="Q1304" s="27"/>
      <c r="R1304" s="27"/>
      <c r="S1304" s="28"/>
      <c r="T1304" s="29"/>
      <c r="U1304" s="29"/>
      <c r="V1304" s="24"/>
      <c r="W1304" s="24"/>
    </row>
    <row r="1305">
      <c r="A1305" s="41"/>
      <c r="B1305" s="25"/>
      <c r="C1305" s="25"/>
      <c r="D1305" s="25"/>
      <c r="E1305" s="25"/>
      <c r="F1305" s="26"/>
      <c r="G1305" s="25"/>
      <c r="H1305" s="25"/>
      <c r="I1305" s="25"/>
      <c r="J1305" s="25"/>
      <c r="K1305" s="25"/>
      <c r="L1305" s="25"/>
      <c r="M1305" s="25"/>
      <c r="N1305" s="27"/>
      <c r="O1305" s="27"/>
      <c r="P1305" s="27"/>
      <c r="Q1305" s="27"/>
      <c r="R1305" s="27"/>
      <c r="S1305" s="28"/>
      <c r="T1305" s="29"/>
      <c r="U1305" s="29"/>
      <c r="V1305" s="24"/>
      <c r="W1305" s="24"/>
    </row>
    <row r="1306">
      <c r="A1306" s="41"/>
      <c r="B1306" s="25"/>
      <c r="C1306" s="25"/>
      <c r="D1306" s="25"/>
      <c r="E1306" s="25"/>
      <c r="F1306" s="26"/>
      <c r="G1306" s="25"/>
      <c r="H1306" s="25"/>
      <c r="I1306" s="25"/>
      <c r="J1306" s="25"/>
      <c r="K1306" s="25"/>
      <c r="L1306" s="25"/>
      <c r="M1306" s="25"/>
      <c r="N1306" s="27"/>
      <c r="O1306" s="27"/>
      <c r="P1306" s="27"/>
      <c r="Q1306" s="27"/>
      <c r="R1306" s="27"/>
      <c r="S1306" s="28"/>
      <c r="T1306" s="29"/>
      <c r="U1306" s="29"/>
      <c r="V1306" s="24"/>
      <c r="W1306" s="24"/>
    </row>
    <row r="1307">
      <c r="A1307" s="41"/>
      <c r="B1307" s="25"/>
      <c r="C1307" s="25"/>
      <c r="D1307" s="25"/>
      <c r="E1307" s="25"/>
      <c r="F1307" s="26"/>
      <c r="G1307" s="25"/>
      <c r="H1307" s="25"/>
      <c r="I1307" s="25"/>
      <c r="J1307" s="25"/>
      <c r="K1307" s="25"/>
      <c r="L1307" s="25"/>
      <c r="M1307" s="25"/>
      <c r="N1307" s="27"/>
      <c r="O1307" s="27"/>
      <c r="P1307" s="27"/>
      <c r="Q1307" s="27"/>
      <c r="R1307" s="27"/>
      <c r="S1307" s="28"/>
      <c r="T1307" s="29"/>
      <c r="U1307" s="29"/>
      <c r="V1307" s="24"/>
      <c r="W1307" s="24"/>
    </row>
    <row r="1308">
      <c r="A1308" s="41"/>
      <c r="B1308" s="25"/>
      <c r="C1308" s="25"/>
      <c r="D1308" s="25"/>
      <c r="E1308" s="25"/>
      <c r="F1308" s="26"/>
      <c r="G1308" s="25"/>
      <c r="H1308" s="25"/>
      <c r="I1308" s="25"/>
      <c r="J1308" s="25"/>
      <c r="K1308" s="25"/>
      <c r="L1308" s="25"/>
      <c r="M1308" s="25"/>
      <c r="N1308" s="27"/>
      <c r="O1308" s="27"/>
      <c r="P1308" s="27"/>
      <c r="Q1308" s="27"/>
      <c r="R1308" s="27"/>
      <c r="S1308" s="28"/>
      <c r="T1308" s="29"/>
      <c r="U1308" s="29"/>
      <c r="V1308" s="24"/>
      <c r="W1308" s="24"/>
    </row>
    <row r="1309">
      <c r="A1309" s="41"/>
      <c r="B1309" s="25"/>
      <c r="C1309" s="25"/>
      <c r="D1309" s="25"/>
      <c r="E1309" s="25"/>
      <c r="F1309" s="26"/>
      <c r="G1309" s="25"/>
      <c r="H1309" s="25"/>
      <c r="I1309" s="25"/>
      <c r="J1309" s="25"/>
      <c r="K1309" s="25"/>
      <c r="L1309" s="25"/>
      <c r="M1309" s="25"/>
      <c r="N1309" s="27"/>
      <c r="O1309" s="27"/>
      <c r="P1309" s="27"/>
      <c r="Q1309" s="27"/>
      <c r="R1309" s="27"/>
      <c r="S1309" s="28"/>
      <c r="T1309" s="29"/>
      <c r="U1309" s="29"/>
      <c r="V1309" s="24"/>
      <c r="W1309" s="24"/>
    </row>
    <row r="1310">
      <c r="A1310" s="41"/>
      <c r="B1310" s="25"/>
      <c r="C1310" s="25"/>
      <c r="D1310" s="25"/>
      <c r="E1310" s="25"/>
      <c r="F1310" s="26"/>
      <c r="G1310" s="25"/>
      <c r="H1310" s="25"/>
      <c r="I1310" s="25"/>
      <c r="J1310" s="25"/>
      <c r="K1310" s="25"/>
      <c r="L1310" s="25"/>
      <c r="M1310" s="25"/>
      <c r="N1310" s="27"/>
      <c r="O1310" s="27"/>
      <c r="P1310" s="27"/>
      <c r="Q1310" s="27"/>
      <c r="R1310" s="27"/>
      <c r="S1310" s="28"/>
      <c r="T1310" s="29"/>
      <c r="U1310" s="29"/>
      <c r="V1310" s="24"/>
      <c r="W1310" s="24"/>
    </row>
    <row r="1311">
      <c r="A1311" s="41"/>
      <c r="B1311" s="25"/>
      <c r="C1311" s="25"/>
      <c r="D1311" s="25"/>
      <c r="E1311" s="25"/>
      <c r="F1311" s="26"/>
      <c r="G1311" s="25"/>
      <c r="H1311" s="25"/>
      <c r="I1311" s="25"/>
      <c r="J1311" s="25"/>
      <c r="K1311" s="25"/>
      <c r="L1311" s="25"/>
      <c r="M1311" s="25"/>
      <c r="N1311" s="27"/>
      <c r="O1311" s="27"/>
      <c r="P1311" s="27"/>
      <c r="Q1311" s="27"/>
      <c r="R1311" s="27"/>
      <c r="S1311" s="28"/>
      <c r="T1311" s="29"/>
      <c r="U1311" s="29"/>
      <c r="V1311" s="24"/>
      <c r="W1311" s="24"/>
    </row>
    <row r="1312">
      <c r="A1312" s="41"/>
      <c r="B1312" s="25"/>
      <c r="C1312" s="25"/>
      <c r="D1312" s="25"/>
      <c r="E1312" s="25"/>
      <c r="F1312" s="26"/>
      <c r="G1312" s="25"/>
      <c r="H1312" s="25"/>
      <c r="I1312" s="25"/>
      <c r="J1312" s="25"/>
      <c r="K1312" s="25"/>
      <c r="L1312" s="25"/>
      <c r="M1312" s="25"/>
      <c r="N1312" s="27"/>
      <c r="O1312" s="27"/>
      <c r="P1312" s="27"/>
      <c r="Q1312" s="27"/>
      <c r="R1312" s="27"/>
      <c r="S1312" s="28"/>
      <c r="T1312" s="29"/>
      <c r="U1312" s="29"/>
      <c r="V1312" s="24"/>
      <c r="W1312" s="24"/>
    </row>
    <row r="1313">
      <c r="A1313" s="41"/>
      <c r="B1313" s="25"/>
      <c r="C1313" s="25"/>
      <c r="D1313" s="25"/>
      <c r="E1313" s="25"/>
      <c r="F1313" s="26"/>
      <c r="G1313" s="25"/>
      <c r="H1313" s="25"/>
      <c r="I1313" s="25"/>
      <c r="J1313" s="25"/>
      <c r="K1313" s="25"/>
      <c r="L1313" s="25"/>
      <c r="M1313" s="25"/>
      <c r="N1313" s="27"/>
      <c r="O1313" s="27"/>
      <c r="P1313" s="27"/>
      <c r="Q1313" s="27"/>
      <c r="R1313" s="27"/>
      <c r="S1313" s="28"/>
      <c r="T1313" s="29"/>
      <c r="U1313" s="29"/>
      <c r="V1313" s="24"/>
      <c r="W1313" s="24"/>
    </row>
    <row r="1314">
      <c r="A1314" s="41"/>
      <c r="B1314" s="25"/>
      <c r="C1314" s="25"/>
      <c r="D1314" s="25"/>
      <c r="E1314" s="25"/>
      <c r="F1314" s="26"/>
      <c r="G1314" s="25"/>
      <c r="H1314" s="25"/>
      <c r="I1314" s="25"/>
      <c r="J1314" s="25"/>
      <c r="K1314" s="25"/>
      <c r="L1314" s="25"/>
      <c r="M1314" s="25"/>
      <c r="N1314" s="27"/>
      <c r="O1314" s="27"/>
      <c r="P1314" s="27"/>
      <c r="Q1314" s="27"/>
      <c r="R1314" s="27"/>
      <c r="S1314" s="28"/>
      <c r="T1314" s="29"/>
      <c r="U1314" s="29"/>
      <c r="V1314" s="24"/>
      <c r="W1314" s="24"/>
    </row>
    <row r="1315">
      <c r="A1315" s="41"/>
      <c r="B1315" s="25"/>
      <c r="C1315" s="25"/>
      <c r="D1315" s="25"/>
      <c r="E1315" s="25"/>
      <c r="F1315" s="26"/>
      <c r="G1315" s="25"/>
      <c r="H1315" s="25"/>
      <c r="I1315" s="25"/>
      <c r="J1315" s="25"/>
      <c r="K1315" s="25"/>
      <c r="L1315" s="25"/>
      <c r="M1315" s="25"/>
      <c r="N1315" s="27"/>
      <c r="O1315" s="27"/>
      <c r="P1315" s="27"/>
      <c r="Q1315" s="27"/>
      <c r="R1315" s="27"/>
      <c r="S1315" s="28"/>
      <c r="T1315" s="29"/>
      <c r="U1315" s="29"/>
      <c r="V1315" s="24"/>
      <c r="W1315" s="24"/>
    </row>
    <row r="1316">
      <c r="A1316" s="41"/>
      <c r="B1316" s="25"/>
      <c r="C1316" s="25"/>
      <c r="D1316" s="25"/>
      <c r="E1316" s="25"/>
      <c r="F1316" s="26"/>
      <c r="G1316" s="25"/>
      <c r="H1316" s="25"/>
      <c r="I1316" s="25"/>
      <c r="J1316" s="25"/>
      <c r="K1316" s="25"/>
      <c r="L1316" s="25"/>
      <c r="M1316" s="25"/>
      <c r="N1316" s="27"/>
      <c r="O1316" s="27"/>
      <c r="P1316" s="27"/>
      <c r="Q1316" s="27"/>
      <c r="R1316" s="27"/>
      <c r="S1316" s="28"/>
      <c r="T1316" s="29"/>
      <c r="U1316" s="29"/>
      <c r="V1316" s="24"/>
      <c r="W1316" s="24"/>
    </row>
    <row r="1317">
      <c r="A1317" s="41"/>
      <c r="B1317" s="25"/>
      <c r="C1317" s="25"/>
      <c r="D1317" s="25"/>
      <c r="E1317" s="25"/>
      <c r="F1317" s="26"/>
      <c r="G1317" s="25"/>
      <c r="H1317" s="25"/>
      <c r="I1317" s="25"/>
      <c r="J1317" s="25"/>
      <c r="K1317" s="25"/>
      <c r="L1317" s="25"/>
      <c r="M1317" s="25"/>
      <c r="N1317" s="27"/>
      <c r="O1317" s="27"/>
      <c r="P1317" s="27"/>
      <c r="Q1317" s="27"/>
      <c r="R1317" s="27"/>
      <c r="S1317" s="28"/>
      <c r="T1317" s="29"/>
      <c r="U1317" s="29"/>
      <c r="V1317" s="24"/>
      <c r="W1317" s="24"/>
    </row>
    <row r="1318">
      <c r="A1318" s="41"/>
      <c r="B1318" s="25"/>
      <c r="C1318" s="25"/>
      <c r="D1318" s="25"/>
      <c r="E1318" s="25"/>
      <c r="F1318" s="26"/>
      <c r="G1318" s="25"/>
      <c r="H1318" s="25"/>
      <c r="I1318" s="25"/>
      <c r="J1318" s="25"/>
      <c r="K1318" s="25"/>
      <c r="L1318" s="25"/>
      <c r="M1318" s="25"/>
      <c r="N1318" s="27"/>
      <c r="O1318" s="27"/>
      <c r="P1318" s="27"/>
      <c r="Q1318" s="27"/>
      <c r="R1318" s="27"/>
      <c r="S1318" s="28"/>
      <c r="T1318" s="29"/>
      <c r="U1318" s="29"/>
      <c r="V1318" s="24"/>
      <c r="W1318" s="24"/>
    </row>
    <row r="1319">
      <c r="A1319" s="41"/>
      <c r="B1319" s="25"/>
      <c r="C1319" s="25"/>
      <c r="D1319" s="25"/>
      <c r="E1319" s="25"/>
      <c r="F1319" s="26"/>
      <c r="G1319" s="25"/>
      <c r="H1319" s="25"/>
      <c r="I1319" s="25"/>
      <c r="J1319" s="25"/>
      <c r="K1319" s="25"/>
      <c r="L1319" s="25"/>
      <c r="M1319" s="25"/>
      <c r="N1319" s="27"/>
      <c r="O1319" s="27"/>
      <c r="P1319" s="27"/>
      <c r="Q1319" s="27"/>
      <c r="R1319" s="27"/>
      <c r="S1319" s="28"/>
      <c r="T1319" s="29"/>
      <c r="U1319" s="29"/>
      <c r="V1319" s="24"/>
      <c r="W1319" s="24"/>
    </row>
    <row r="1320">
      <c r="A1320" s="41"/>
      <c r="B1320" s="25"/>
      <c r="C1320" s="25"/>
      <c r="D1320" s="25"/>
      <c r="E1320" s="25"/>
      <c r="F1320" s="26"/>
      <c r="G1320" s="25"/>
      <c r="H1320" s="25"/>
      <c r="I1320" s="25"/>
      <c r="J1320" s="25"/>
      <c r="K1320" s="25"/>
      <c r="L1320" s="25"/>
      <c r="M1320" s="25"/>
      <c r="N1320" s="27"/>
      <c r="O1320" s="27"/>
      <c r="P1320" s="27"/>
      <c r="Q1320" s="27"/>
      <c r="R1320" s="27"/>
      <c r="S1320" s="28"/>
      <c r="T1320" s="29"/>
      <c r="U1320" s="29"/>
      <c r="V1320" s="24"/>
      <c r="W1320" s="24"/>
    </row>
    <row r="1321">
      <c r="A1321" s="41"/>
      <c r="B1321" s="25"/>
      <c r="C1321" s="25"/>
      <c r="D1321" s="25"/>
      <c r="E1321" s="25"/>
      <c r="F1321" s="26"/>
      <c r="G1321" s="25"/>
      <c r="H1321" s="25"/>
      <c r="I1321" s="25"/>
      <c r="J1321" s="25"/>
      <c r="K1321" s="25"/>
      <c r="L1321" s="25"/>
      <c r="M1321" s="25"/>
      <c r="N1321" s="27"/>
      <c r="O1321" s="27"/>
      <c r="P1321" s="27"/>
      <c r="Q1321" s="27"/>
      <c r="R1321" s="27"/>
      <c r="S1321" s="28"/>
      <c r="T1321" s="29"/>
      <c r="U1321" s="29"/>
      <c r="V1321" s="24"/>
      <c r="W1321" s="24"/>
    </row>
    <row r="1322">
      <c r="A1322" s="41"/>
      <c r="B1322" s="25"/>
      <c r="C1322" s="25"/>
      <c r="D1322" s="25"/>
      <c r="E1322" s="25"/>
      <c r="F1322" s="26"/>
      <c r="G1322" s="25"/>
      <c r="H1322" s="25"/>
      <c r="I1322" s="25"/>
      <c r="J1322" s="25"/>
      <c r="K1322" s="25"/>
      <c r="L1322" s="25"/>
      <c r="M1322" s="25"/>
      <c r="N1322" s="27"/>
      <c r="O1322" s="27"/>
      <c r="P1322" s="27"/>
      <c r="Q1322" s="27"/>
      <c r="R1322" s="27"/>
      <c r="S1322" s="28"/>
      <c r="T1322" s="29"/>
      <c r="U1322" s="29"/>
      <c r="V1322" s="24"/>
      <c r="W1322" s="24"/>
    </row>
    <row r="1323">
      <c r="A1323" s="41"/>
      <c r="B1323" s="25"/>
      <c r="C1323" s="25"/>
      <c r="D1323" s="25"/>
      <c r="E1323" s="25"/>
      <c r="F1323" s="26"/>
      <c r="G1323" s="25"/>
      <c r="H1323" s="25"/>
      <c r="I1323" s="25"/>
      <c r="J1323" s="25"/>
      <c r="K1323" s="25"/>
      <c r="L1323" s="25"/>
      <c r="M1323" s="25"/>
      <c r="N1323" s="27"/>
      <c r="O1323" s="27"/>
      <c r="P1323" s="27"/>
      <c r="Q1323" s="27"/>
      <c r="R1323" s="27"/>
      <c r="S1323" s="28"/>
      <c r="T1323" s="29"/>
      <c r="U1323" s="29"/>
      <c r="V1323" s="24"/>
      <c r="W1323" s="24"/>
    </row>
    <row r="1324">
      <c r="A1324" s="41"/>
      <c r="B1324" s="25"/>
      <c r="C1324" s="25"/>
      <c r="D1324" s="25"/>
      <c r="E1324" s="25"/>
      <c r="F1324" s="26"/>
      <c r="G1324" s="25"/>
      <c r="H1324" s="25"/>
      <c r="I1324" s="25"/>
      <c r="J1324" s="25"/>
      <c r="K1324" s="25"/>
      <c r="L1324" s="25"/>
      <c r="M1324" s="25"/>
      <c r="N1324" s="27"/>
      <c r="O1324" s="27"/>
      <c r="P1324" s="27"/>
      <c r="Q1324" s="27"/>
      <c r="R1324" s="27"/>
      <c r="S1324" s="28"/>
      <c r="T1324" s="29"/>
      <c r="U1324" s="29"/>
      <c r="V1324" s="24"/>
      <c r="W1324" s="24"/>
    </row>
    <row r="1325">
      <c r="A1325" s="41"/>
      <c r="B1325" s="25"/>
      <c r="C1325" s="25"/>
      <c r="D1325" s="25"/>
      <c r="E1325" s="25"/>
      <c r="F1325" s="26"/>
      <c r="G1325" s="25"/>
      <c r="H1325" s="25"/>
      <c r="I1325" s="25"/>
      <c r="J1325" s="25"/>
      <c r="K1325" s="25"/>
      <c r="L1325" s="25"/>
      <c r="M1325" s="25"/>
      <c r="N1325" s="27"/>
      <c r="O1325" s="27"/>
      <c r="P1325" s="27"/>
      <c r="Q1325" s="27"/>
      <c r="R1325" s="27"/>
      <c r="S1325" s="28"/>
      <c r="T1325" s="29"/>
      <c r="U1325" s="29"/>
      <c r="V1325" s="24"/>
      <c r="W1325" s="24"/>
    </row>
    <row r="1326">
      <c r="A1326" s="41"/>
      <c r="B1326" s="25"/>
      <c r="C1326" s="25"/>
      <c r="D1326" s="25"/>
      <c r="E1326" s="25"/>
      <c r="F1326" s="26"/>
      <c r="G1326" s="25"/>
      <c r="H1326" s="25"/>
      <c r="I1326" s="25"/>
      <c r="J1326" s="25"/>
      <c r="K1326" s="25"/>
      <c r="L1326" s="25"/>
      <c r="M1326" s="25"/>
      <c r="N1326" s="27"/>
      <c r="O1326" s="27"/>
      <c r="P1326" s="27"/>
      <c r="Q1326" s="27"/>
      <c r="R1326" s="27"/>
      <c r="S1326" s="28"/>
      <c r="T1326" s="29"/>
      <c r="U1326" s="29"/>
      <c r="V1326" s="24"/>
      <c r="W1326" s="24"/>
    </row>
    <row r="1327">
      <c r="A1327" s="41"/>
      <c r="B1327" s="25"/>
      <c r="C1327" s="25"/>
      <c r="D1327" s="25"/>
      <c r="E1327" s="25"/>
      <c r="F1327" s="26"/>
      <c r="G1327" s="25"/>
      <c r="H1327" s="25"/>
      <c r="I1327" s="25"/>
      <c r="J1327" s="25"/>
      <c r="K1327" s="25"/>
      <c r="L1327" s="25"/>
      <c r="M1327" s="25"/>
      <c r="N1327" s="27"/>
      <c r="O1327" s="27"/>
      <c r="P1327" s="27"/>
      <c r="Q1327" s="27"/>
      <c r="R1327" s="27"/>
      <c r="S1327" s="28"/>
      <c r="T1327" s="29"/>
      <c r="U1327" s="29"/>
      <c r="V1327" s="24"/>
      <c r="W1327" s="24"/>
    </row>
    <row r="1328">
      <c r="A1328" s="41"/>
      <c r="B1328" s="25"/>
      <c r="C1328" s="25"/>
      <c r="D1328" s="25"/>
      <c r="E1328" s="25"/>
      <c r="F1328" s="26"/>
      <c r="G1328" s="25"/>
      <c r="H1328" s="25"/>
      <c r="I1328" s="25"/>
      <c r="J1328" s="25"/>
      <c r="K1328" s="25"/>
      <c r="L1328" s="25"/>
      <c r="M1328" s="25"/>
      <c r="N1328" s="27"/>
      <c r="O1328" s="27"/>
      <c r="P1328" s="27"/>
      <c r="Q1328" s="27"/>
      <c r="R1328" s="27"/>
      <c r="S1328" s="28"/>
      <c r="T1328" s="29"/>
      <c r="U1328" s="29"/>
      <c r="V1328" s="24"/>
      <c r="W1328" s="24"/>
    </row>
    <row r="1329">
      <c r="A1329" s="41"/>
      <c r="B1329" s="25"/>
      <c r="C1329" s="25"/>
      <c r="D1329" s="25"/>
      <c r="E1329" s="25"/>
      <c r="F1329" s="26"/>
      <c r="G1329" s="25"/>
      <c r="H1329" s="25"/>
      <c r="I1329" s="25"/>
      <c r="J1329" s="25"/>
      <c r="K1329" s="25"/>
      <c r="L1329" s="25"/>
      <c r="M1329" s="25"/>
      <c r="N1329" s="27"/>
      <c r="O1329" s="27"/>
      <c r="P1329" s="27"/>
      <c r="Q1329" s="27"/>
      <c r="R1329" s="27"/>
      <c r="S1329" s="28"/>
      <c r="T1329" s="29"/>
      <c r="U1329" s="29"/>
      <c r="V1329" s="24"/>
      <c r="W1329" s="24"/>
    </row>
    <row r="1330">
      <c r="A1330" s="41"/>
      <c r="B1330" s="25"/>
      <c r="C1330" s="25"/>
      <c r="D1330" s="25"/>
      <c r="E1330" s="25"/>
      <c r="F1330" s="26"/>
      <c r="G1330" s="25"/>
      <c r="H1330" s="25"/>
      <c r="I1330" s="25"/>
      <c r="J1330" s="25"/>
      <c r="K1330" s="25"/>
      <c r="L1330" s="25"/>
      <c r="M1330" s="25"/>
      <c r="N1330" s="27"/>
      <c r="O1330" s="27"/>
      <c r="P1330" s="27"/>
      <c r="Q1330" s="27"/>
      <c r="R1330" s="27"/>
      <c r="S1330" s="28"/>
      <c r="T1330" s="29"/>
      <c r="U1330" s="29"/>
      <c r="V1330" s="24"/>
      <c r="W1330" s="24"/>
    </row>
    <row r="1331">
      <c r="A1331" s="41"/>
      <c r="B1331" s="25"/>
      <c r="C1331" s="25"/>
      <c r="D1331" s="25"/>
      <c r="E1331" s="25"/>
      <c r="F1331" s="26"/>
      <c r="G1331" s="25"/>
      <c r="H1331" s="25"/>
      <c r="I1331" s="25"/>
      <c r="J1331" s="25"/>
      <c r="K1331" s="25"/>
      <c r="L1331" s="25"/>
      <c r="M1331" s="25"/>
      <c r="N1331" s="27"/>
      <c r="O1331" s="27"/>
      <c r="P1331" s="27"/>
      <c r="Q1331" s="27"/>
      <c r="R1331" s="27"/>
      <c r="S1331" s="28"/>
      <c r="T1331" s="29"/>
      <c r="U1331" s="29"/>
      <c r="V1331" s="24"/>
      <c r="W1331" s="24"/>
    </row>
    <row r="1332">
      <c r="A1332" s="41"/>
      <c r="B1332" s="25"/>
      <c r="C1332" s="25"/>
      <c r="D1332" s="25"/>
      <c r="E1332" s="25"/>
      <c r="F1332" s="26"/>
      <c r="G1332" s="25"/>
      <c r="H1332" s="25"/>
      <c r="I1332" s="25"/>
      <c r="J1332" s="25"/>
      <c r="K1332" s="25"/>
      <c r="L1332" s="25"/>
      <c r="M1332" s="25"/>
      <c r="N1332" s="27"/>
      <c r="O1332" s="27"/>
      <c r="P1332" s="27"/>
      <c r="Q1332" s="27"/>
      <c r="R1332" s="27"/>
      <c r="S1332" s="28"/>
      <c r="T1332" s="29"/>
      <c r="U1332" s="29"/>
      <c r="V1332" s="24"/>
      <c r="W1332" s="24"/>
    </row>
    <row r="1333">
      <c r="A1333" s="41"/>
      <c r="B1333" s="25"/>
      <c r="C1333" s="25"/>
      <c r="D1333" s="25"/>
      <c r="E1333" s="25"/>
      <c r="F1333" s="26"/>
      <c r="G1333" s="25"/>
      <c r="H1333" s="25"/>
      <c r="I1333" s="25"/>
      <c r="J1333" s="25"/>
      <c r="K1333" s="25"/>
      <c r="L1333" s="25"/>
      <c r="M1333" s="25"/>
      <c r="N1333" s="27"/>
      <c r="O1333" s="27"/>
      <c r="P1333" s="27"/>
      <c r="Q1333" s="27"/>
      <c r="R1333" s="27"/>
      <c r="S1333" s="28"/>
      <c r="T1333" s="29"/>
      <c r="U1333" s="29"/>
      <c r="V1333" s="24"/>
      <c r="W1333" s="24"/>
    </row>
    <row r="1334">
      <c r="A1334" s="41"/>
      <c r="B1334" s="25"/>
      <c r="C1334" s="25"/>
      <c r="D1334" s="25"/>
      <c r="E1334" s="25"/>
      <c r="F1334" s="26"/>
      <c r="G1334" s="25"/>
      <c r="H1334" s="25"/>
      <c r="I1334" s="25"/>
      <c r="J1334" s="25"/>
      <c r="K1334" s="25"/>
      <c r="L1334" s="25"/>
      <c r="M1334" s="25"/>
      <c r="N1334" s="27"/>
      <c r="O1334" s="27"/>
      <c r="P1334" s="27"/>
      <c r="Q1334" s="27"/>
      <c r="R1334" s="27"/>
      <c r="S1334" s="28"/>
      <c r="T1334" s="29"/>
      <c r="U1334" s="29"/>
      <c r="V1334" s="24"/>
      <c r="W1334" s="24"/>
    </row>
    <row r="1335">
      <c r="A1335" s="41"/>
      <c r="B1335" s="25"/>
      <c r="C1335" s="25"/>
      <c r="D1335" s="25"/>
      <c r="E1335" s="25"/>
      <c r="F1335" s="26"/>
      <c r="G1335" s="25"/>
      <c r="H1335" s="25"/>
      <c r="I1335" s="25"/>
      <c r="J1335" s="25"/>
      <c r="K1335" s="25"/>
      <c r="L1335" s="25"/>
      <c r="M1335" s="25"/>
      <c r="N1335" s="27"/>
      <c r="O1335" s="27"/>
      <c r="P1335" s="27"/>
      <c r="Q1335" s="27"/>
      <c r="R1335" s="27"/>
      <c r="S1335" s="28"/>
      <c r="T1335" s="29"/>
      <c r="U1335" s="29"/>
      <c r="V1335" s="24"/>
      <c r="W1335" s="24"/>
    </row>
    <row r="1336">
      <c r="A1336" s="41"/>
      <c r="B1336" s="25"/>
      <c r="C1336" s="25"/>
      <c r="D1336" s="25"/>
      <c r="E1336" s="25"/>
      <c r="F1336" s="26"/>
      <c r="G1336" s="25"/>
      <c r="H1336" s="25"/>
      <c r="I1336" s="25"/>
      <c r="J1336" s="25"/>
      <c r="K1336" s="25"/>
      <c r="L1336" s="25"/>
      <c r="M1336" s="25"/>
      <c r="N1336" s="27"/>
      <c r="O1336" s="27"/>
      <c r="P1336" s="27"/>
      <c r="Q1336" s="27"/>
      <c r="R1336" s="27"/>
      <c r="S1336" s="28"/>
      <c r="T1336" s="29"/>
      <c r="U1336" s="29"/>
      <c r="V1336" s="24"/>
      <c r="W1336" s="24"/>
    </row>
    <row r="1337">
      <c r="A1337" s="41"/>
      <c r="B1337" s="25"/>
      <c r="C1337" s="25"/>
      <c r="D1337" s="25"/>
      <c r="E1337" s="25"/>
      <c r="F1337" s="26"/>
      <c r="G1337" s="25"/>
      <c r="H1337" s="25"/>
      <c r="I1337" s="25"/>
      <c r="J1337" s="25"/>
      <c r="K1337" s="25"/>
      <c r="L1337" s="25"/>
      <c r="M1337" s="25"/>
      <c r="N1337" s="27"/>
      <c r="O1337" s="27"/>
      <c r="P1337" s="27"/>
      <c r="Q1337" s="27"/>
      <c r="R1337" s="27"/>
      <c r="S1337" s="28"/>
      <c r="T1337" s="29"/>
      <c r="U1337" s="29"/>
      <c r="V1337" s="24"/>
      <c r="W1337" s="24"/>
    </row>
    <row r="1338">
      <c r="A1338" s="41"/>
      <c r="B1338" s="25"/>
      <c r="C1338" s="25"/>
      <c r="D1338" s="25"/>
      <c r="E1338" s="25"/>
      <c r="F1338" s="26"/>
      <c r="G1338" s="25"/>
      <c r="H1338" s="25"/>
      <c r="I1338" s="25"/>
      <c r="J1338" s="25"/>
      <c r="K1338" s="25"/>
      <c r="L1338" s="25"/>
      <c r="M1338" s="25"/>
      <c r="N1338" s="27"/>
      <c r="O1338" s="27"/>
      <c r="P1338" s="27"/>
      <c r="Q1338" s="27"/>
      <c r="R1338" s="27"/>
      <c r="S1338" s="28"/>
      <c r="T1338" s="29"/>
      <c r="U1338" s="29"/>
      <c r="V1338" s="24"/>
      <c r="W1338" s="24"/>
    </row>
    <row r="1339">
      <c r="A1339" s="41"/>
      <c r="B1339" s="25"/>
      <c r="C1339" s="25"/>
      <c r="D1339" s="25"/>
      <c r="E1339" s="25"/>
      <c r="F1339" s="26"/>
      <c r="G1339" s="25"/>
      <c r="H1339" s="25"/>
      <c r="I1339" s="25"/>
      <c r="J1339" s="25"/>
      <c r="K1339" s="25"/>
      <c r="L1339" s="25"/>
      <c r="M1339" s="25"/>
      <c r="N1339" s="27"/>
      <c r="O1339" s="27"/>
      <c r="P1339" s="27"/>
      <c r="Q1339" s="27"/>
      <c r="R1339" s="27"/>
      <c r="S1339" s="28"/>
      <c r="T1339" s="29"/>
      <c r="U1339" s="29"/>
      <c r="V1339" s="24"/>
      <c r="W1339" s="24"/>
    </row>
    <row r="1340">
      <c r="A1340" s="41"/>
      <c r="B1340" s="25"/>
      <c r="C1340" s="25"/>
      <c r="D1340" s="25"/>
      <c r="E1340" s="25"/>
      <c r="F1340" s="26"/>
      <c r="G1340" s="25"/>
      <c r="H1340" s="25"/>
      <c r="I1340" s="25"/>
      <c r="J1340" s="25"/>
      <c r="K1340" s="25"/>
      <c r="L1340" s="25"/>
      <c r="M1340" s="25"/>
      <c r="N1340" s="27"/>
      <c r="O1340" s="27"/>
      <c r="P1340" s="27"/>
      <c r="Q1340" s="27"/>
      <c r="R1340" s="27"/>
      <c r="S1340" s="28"/>
      <c r="T1340" s="29"/>
      <c r="U1340" s="29"/>
      <c r="V1340" s="24"/>
      <c r="W1340" s="24"/>
    </row>
    <row r="1341">
      <c r="A1341" s="41"/>
      <c r="B1341" s="25"/>
      <c r="C1341" s="25"/>
      <c r="D1341" s="25"/>
      <c r="E1341" s="25"/>
      <c r="F1341" s="26"/>
      <c r="G1341" s="25"/>
      <c r="H1341" s="25"/>
      <c r="I1341" s="25"/>
      <c r="J1341" s="25"/>
      <c r="K1341" s="25"/>
      <c r="L1341" s="25"/>
      <c r="M1341" s="25"/>
      <c r="N1341" s="27"/>
      <c r="O1341" s="27"/>
      <c r="P1341" s="27"/>
      <c r="Q1341" s="27"/>
      <c r="R1341" s="27"/>
      <c r="S1341" s="28"/>
      <c r="T1341" s="29"/>
      <c r="U1341" s="29"/>
      <c r="V1341" s="24"/>
      <c r="W1341" s="24"/>
    </row>
    <row r="1342">
      <c r="A1342" s="41"/>
      <c r="B1342" s="25"/>
      <c r="C1342" s="25"/>
      <c r="D1342" s="25"/>
      <c r="E1342" s="25"/>
      <c r="F1342" s="26"/>
      <c r="G1342" s="25"/>
      <c r="H1342" s="25"/>
      <c r="I1342" s="25"/>
      <c r="J1342" s="25"/>
      <c r="K1342" s="25"/>
      <c r="L1342" s="25"/>
      <c r="M1342" s="25"/>
      <c r="N1342" s="27"/>
      <c r="O1342" s="27"/>
      <c r="P1342" s="27"/>
      <c r="Q1342" s="27"/>
      <c r="R1342" s="27"/>
      <c r="S1342" s="28"/>
      <c r="T1342" s="29"/>
      <c r="U1342" s="29"/>
      <c r="V1342" s="24"/>
      <c r="W1342" s="24"/>
    </row>
    <row r="1343">
      <c r="A1343" s="41"/>
      <c r="B1343" s="25"/>
      <c r="C1343" s="25"/>
      <c r="D1343" s="25"/>
      <c r="E1343" s="25"/>
      <c r="F1343" s="26"/>
      <c r="G1343" s="25"/>
      <c r="H1343" s="25"/>
      <c r="I1343" s="25"/>
      <c r="J1343" s="25"/>
      <c r="K1343" s="25"/>
      <c r="L1343" s="25"/>
      <c r="M1343" s="25"/>
      <c r="N1343" s="27"/>
      <c r="O1343" s="27"/>
      <c r="P1343" s="27"/>
      <c r="Q1343" s="27"/>
      <c r="R1343" s="27"/>
      <c r="S1343" s="28"/>
      <c r="T1343" s="29"/>
      <c r="U1343" s="29"/>
      <c r="V1343" s="24"/>
      <c r="W1343" s="24"/>
    </row>
    <row r="1344">
      <c r="A1344" s="41"/>
      <c r="B1344" s="25"/>
      <c r="C1344" s="25"/>
      <c r="D1344" s="25"/>
      <c r="E1344" s="25"/>
      <c r="F1344" s="26"/>
      <c r="G1344" s="25"/>
      <c r="H1344" s="25"/>
      <c r="I1344" s="25"/>
      <c r="J1344" s="25"/>
      <c r="K1344" s="25"/>
      <c r="L1344" s="25"/>
      <c r="M1344" s="25"/>
      <c r="N1344" s="27"/>
      <c r="O1344" s="27"/>
      <c r="P1344" s="27"/>
      <c r="Q1344" s="27"/>
      <c r="R1344" s="27"/>
      <c r="S1344" s="28"/>
      <c r="T1344" s="29"/>
      <c r="U1344" s="29"/>
      <c r="V1344" s="24"/>
      <c r="W1344" s="24"/>
    </row>
    <row r="1345">
      <c r="A1345" s="41"/>
      <c r="B1345" s="25"/>
      <c r="C1345" s="25"/>
      <c r="D1345" s="25"/>
      <c r="E1345" s="25"/>
      <c r="F1345" s="26"/>
      <c r="G1345" s="25"/>
      <c r="H1345" s="25"/>
      <c r="I1345" s="25"/>
      <c r="J1345" s="25"/>
      <c r="K1345" s="25"/>
      <c r="L1345" s="25"/>
      <c r="M1345" s="25"/>
      <c r="N1345" s="27"/>
      <c r="O1345" s="27"/>
      <c r="P1345" s="27"/>
      <c r="Q1345" s="27"/>
      <c r="R1345" s="27"/>
      <c r="S1345" s="28"/>
      <c r="T1345" s="29"/>
      <c r="U1345" s="29"/>
      <c r="V1345" s="24"/>
      <c r="W1345" s="24"/>
    </row>
    <row r="1346">
      <c r="A1346" s="41"/>
      <c r="B1346" s="25"/>
      <c r="C1346" s="25"/>
      <c r="D1346" s="25"/>
      <c r="E1346" s="25"/>
      <c r="F1346" s="26"/>
      <c r="G1346" s="25"/>
      <c r="H1346" s="25"/>
      <c r="I1346" s="25"/>
      <c r="J1346" s="25"/>
      <c r="K1346" s="25"/>
      <c r="L1346" s="25"/>
      <c r="M1346" s="25"/>
      <c r="N1346" s="27"/>
      <c r="O1346" s="27"/>
      <c r="P1346" s="27"/>
      <c r="Q1346" s="27"/>
      <c r="R1346" s="27"/>
      <c r="S1346" s="28"/>
      <c r="T1346" s="29"/>
      <c r="U1346" s="29"/>
      <c r="V1346" s="24"/>
      <c r="W1346" s="24"/>
    </row>
    <row r="1347">
      <c r="A1347" s="41"/>
      <c r="B1347" s="25"/>
      <c r="C1347" s="25"/>
      <c r="D1347" s="25"/>
      <c r="E1347" s="25"/>
      <c r="F1347" s="26"/>
      <c r="G1347" s="25"/>
      <c r="H1347" s="25"/>
      <c r="I1347" s="25"/>
      <c r="J1347" s="25"/>
      <c r="K1347" s="25"/>
      <c r="L1347" s="25"/>
      <c r="M1347" s="25"/>
      <c r="N1347" s="27"/>
      <c r="O1347" s="27"/>
      <c r="P1347" s="27"/>
      <c r="Q1347" s="27"/>
      <c r="R1347" s="27"/>
      <c r="S1347" s="28"/>
      <c r="T1347" s="29"/>
      <c r="U1347" s="29"/>
      <c r="V1347" s="24"/>
      <c r="W1347" s="24"/>
    </row>
    <row r="1348">
      <c r="A1348" s="41"/>
      <c r="B1348" s="25"/>
      <c r="C1348" s="25"/>
      <c r="D1348" s="25"/>
      <c r="E1348" s="25"/>
      <c r="F1348" s="26"/>
      <c r="G1348" s="25"/>
      <c r="H1348" s="25"/>
      <c r="I1348" s="25"/>
      <c r="J1348" s="25"/>
      <c r="K1348" s="25"/>
      <c r="L1348" s="25"/>
      <c r="M1348" s="25"/>
      <c r="N1348" s="27"/>
      <c r="O1348" s="27"/>
      <c r="P1348" s="27"/>
      <c r="Q1348" s="27"/>
      <c r="R1348" s="27"/>
      <c r="S1348" s="28"/>
      <c r="T1348" s="29"/>
      <c r="U1348" s="29"/>
      <c r="V1348" s="24"/>
      <c r="W1348" s="24"/>
    </row>
    <row r="1349">
      <c r="A1349" s="41"/>
      <c r="B1349" s="25"/>
      <c r="C1349" s="25"/>
      <c r="D1349" s="25"/>
      <c r="E1349" s="25"/>
      <c r="F1349" s="26"/>
      <c r="G1349" s="25"/>
      <c r="H1349" s="25"/>
      <c r="I1349" s="25"/>
      <c r="J1349" s="25"/>
      <c r="K1349" s="25"/>
      <c r="L1349" s="25"/>
      <c r="M1349" s="25"/>
      <c r="N1349" s="27"/>
      <c r="O1349" s="27"/>
      <c r="P1349" s="27"/>
      <c r="Q1349" s="27"/>
      <c r="R1349" s="27"/>
      <c r="S1349" s="28"/>
      <c r="T1349" s="29"/>
      <c r="U1349" s="29"/>
      <c r="V1349" s="24"/>
      <c r="W1349" s="24"/>
    </row>
    <row r="1350">
      <c r="A1350" s="41"/>
      <c r="B1350" s="25"/>
      <c r="C1350" s="25"/>
      <c r="D1350" s="25"/>
      <c r="E1350" s="25"/>
      <c r="F1350" s="26"/>
      <c r="G1350" s="25"/>
      <c r="H1350" s="25"/>
      <c r="I1350" s="25"/>
      <c r="J1350" s="25"/>
      <c r="K1350" s="25"/>
      <c r="L1350" s="25"/>
      <c r="M1350" s="25"/>
      <c r="N1350" s="27"/>
      <c r="O1350" s="27"/>
      <c r="P1350" s="27"/>
      <c r="Q1350" s="27"/>
      <c r="R1350" s="27"/>
      <c r="S1350" s="28"/>
      <c r="T1350" s="29"/>
      <c r="U1350" s="29"/>
      <c r="V1350" s="24"/>
      <c r="W1350" s="24"/>
    </row>
    <row r="1351">
      <c r="A1351" s="41"/>
      <c r="B1351" s="25"/>
      <c r="C1351" s="25"/>
      <c r="D1351" s="25"/>
      <c r="E1351" s="25"/>
      <c r="F1351" s="26"/>
      <c r="G1351" s="25"/>
      <c r="H1351" s="25"/>
      <c r="I1351" s="25"/>
      <c r="J1351" s="25"/>
      <c r="K1351" s="25"/>
      <c r="L1351" s="25"/>
      <c r="M1351" s="25"/>
      <c r="N1351" s="27"/>
      <c r="O1351" s="27"/>
      <c r="P1351" s="27"/>
      <c r="Q1351" s="27"/>
      <c r="R1351" s="27"/>
      <c r="S1351" s="28"/>
      <c r="T1351" s="29"/>
      <c r="U1351" s="29"/>
      <c r="V1351" s="24"/>
      <c r="W1351" s="24"/>
    </row>
    <row r="1352">
      <c r="A1352" s="41"/>
      <c r="B1352" s="25"/>
      <c r="C1352" s="25"/>
      <c r="D1352" s="25"/>
      <c r="E1352" s="25"/>
      <c r="F1352" s="26"/>
      <c r="G1352" s="25"/>
      <c r="H1352" s="25"/>
      <c r="I1352" s="25"/>
      <c r="J1352" s="25"/>
      <c r="K1352" s="25"/>
      <c r="L1352" s="25"/>
      <c r="M1352" s="25"/>
      <c r="N1352" s="27"/>
      <c r="O1352" s="27"/>
      <c r="P1352" s="27"/>
      <c r="Q1352" s="27"/>
      <c r="R1352" s="27"/>
      <c r="S1352" s="28"/>
      <c r="T1352" s="29"/>
      <c r="U1352" s="29"/>
      <c r="V1352" s="24"/>
      <c r="W1352" s="24"/>
    </row>
    <row r="1353">
      <c r="A1353" s="41"/>
      <c r="B1353" s="25"/>
      <c r="C1353" s="25"/>
      <c r="D1353" s="25"/>
      <c r="E1353" s="25"/>
      <c r="F1353" s="26"/>
      <c r="G1353" s="25"/>
      <c r="H1353" s="25"/>
      <c r="I1353" s="25"/>
      <c r="J1353" s="25"/>
      <c r="K1353" s="25"/>
      <c r="L1353" s="25"/>
      <c r="M1353" s="25"/>
      <c r="N1353" s="27"/>
      <c r="O1353" s="27"/>
      <c r="P1353" s="27"/>
      <c r="Q1353" s="27"/>
      <c r="R1353" s="27"/>
      <c r="S1353" s="28"/>
      <c r="T1353" s="29"/>
      <c r="U1353" s="29"/>
      <c r="V1353" s="24"/>
      <c r="W1353" s="24"/>
    </row>
    <row r="1354">
      <c r="A1354" s="41"/>
      <c r="B1354" s="25"/>
      <c r="C1354" s="25"/>
      <c r="D1354" s="25"/>
      <c r="E1354" s="25"/>
      <c r="F1354" s="26"/>
      <c r="G1354" s="25"/>
      <c r="H1354" s="25"/>
      <c r="I1354" s="25"/>
      <c r="J1354" s="25"/>
      <c r="K1354" s="25"/>
      <c r="L1354" s="25"/>
      <c r="M1354" s="25"/>
      <c r="N1354" s="27"/>
      <c r="O1354" s="27"/>
      <c r="P1354" s="27"/>
      <c r="Q1354" s="27"/>
      <c r="R1354" s="27"/>
      <c r="S1354" s="28"/>
      <c r="T1354" s="29"/>
      <c r="U1354" s="29"/>
      <c r="V1354" s="24"/>
      <c r="W1354" s="24"/>
    </row>
    <row r="1355">
      <c r="A1355" s="41"/>
      <c r="B1355" s="25"/>
      <c r="C1355" s="25"/>
      <c r="D1355" s="25"/>
      <c r="E1355" s="25"/>
      <c r="F1355" s="26"/>
      <c r="G1355" s="25"/>
      <c r="H1355" s="25"/>
      <c r="I1355" s="25"/>
      <c r="J1355" s="25"/>
      <c r="K1355" s="25"/>
      <c r="L1355" s="25"/>
      <c r="M1355" s="25"/>
      <c r="N1355" s="27"/>
      <c r="O1355" s="27"/>
      <c r="P1355" s="27"/>
      <c r="Q1355" s="27"/>
      <c r="R1355" s="27"/>
      <c r="S1355" s="28"/>
      <c r="T1355" s="29"/>
      <c r="U1355" s="29"/>
      <c r="V1355" s="24"/>
      <c r="W1355" s="24"/>
    </row>
    <row r="1356">
      <c r="A1356" s="41"/>
      <c r="B1356" s="25"/>
      <c r="C1356" s="25"/>
      <c r="D1356" s="25"/>
      <c r="E1356" s="25"/>
      <c r="F1356" s="26"/>
      <c r="G1356" s="25"/>
      <c r="H1356" s="25"/>
      <c r="I1356" s="25"/>
      <c r="J1356" s="25"/>
      <c r="K1356" s="25"/>
      <c r="L1356" s="25"/>
      <c r="M1356" s="25"/>
      <c r="N1356" s="27"/>
      <c r="O1356" s="27"/>
      <c r="P1356" s="27"/>
      <c r="Q1356" s="27"/>
      <c r="R1356" s="27"/>
      <c r="S1356" s="28"/>
      <c r="T1356" s="29"/>
      <c r="U1356" s="29"/>
      <c r="V1356" s="24"/>
      <c r="W1356" s="24"/>
    </row>
    <row r="1357">
      <c r="A1357" s="41"/>
      <c r="B1357" s="25"/>
      <c r="C1357" s="25"/>
      <c r="D1357" s="25"/>
      <c r="E1357" s="25"/>
      <c r="F1357" s="26"/>
      <c r="G1357" s="25"/>
      <c r="H1357" s="25"/>
      <c r="I1357" s="25"/>
      <c r="J1357" s="25"/>
      <c r="K1357" s="25"/>
      <c r="L1357" s="25"/>
      <c r="M1357" s="25"/>
      <c r="N1357" s="27"/>
      <c r="O1357" s="27"/>
      <c r="P1357" s="27"/>
      <c r="Q1357" s="27"/>
      <c r="R1357" s="27"/>
      <c r="S1357" s="28"/>
      <c r="T1357" s="29"/>
      <c r="U1357" s="29"/>
      <c r="V1357" s="24"/>
      <c r="W1357" s="24"/>
    </row>
    <row r="1358">
      <c r="A1358" s="41"/>
      <c r="B1358" s="25"/>
      <c r="C1358" s="25"/>
      <c r="D1358" s="25"/>
      <c r="E1358" s="25"/>
      <c r="F1358" s="26"/>
      <c r="G1358" s="25"/>
      <c r="H1358" s="25"/>
      <c r="I1358" s="25"/>
      <c r="J1358" s="25"/>
      <c r="K1358" s="25"/>
      <c r="L1358" s="25"/>
      <c r="M1358" s="25"/>
      <c r="N1358" s="27"/>
      <c r="O1358" s="27"/>
      <c r="P1358" s="27"/>
      <c r="Q1358" s="27"/>
      <c r="R1358" s="27"/>
      <c r="S1358" s="28"/>
      <c r="T1358" s="29"/>
      <c r="U1358" s="29"/>
      <c r="V1358" s="24"/>
      <c r="W1358" s="24"/>
    </row>
    <row r="1359">
      <c r="A1359" s="41"/>
      <c r="B1359" s="25"/>
      <c r="C1359" s="25"/>
      <c r="D1359" s="25"/>
      <c r="E1359" s="25"/>
      <c r="F1359" s="26"/>
      <c r="G1359" s="25"/>
      <c r="H1359" s="25"/>
      <c r="I1359" s="25"/>
      <c r="J1359" s="25"/>
      <c r="K1359" s="25"/>
      <c r="L1359" s="25"/>
      <c r="M1359" s="25"/>
      <c r="N1359" s="27"/>
      <c r="O1359" s="27"/>
      <c r="P1359" s="27"/>
      <c r="Q1359" s="27"/>
      <c r="R1359" s="27"/>
      <c r="S1359" s="28"/>
      <c r="T1359" s="29"/>
      <c r="U1359" s="29"/>
      <c r="V1359" s="24"/>
      <c r="W1359" s="24"/>
    </row>
    <row r="1360">
      <c r="A1360" s="41"/>
      <c r="B1360" s="25"/>
      <c r="C1360" s="25"/>
      <c r="D1360" s="25"/>
      <c r="E1360" s="25"/>
      <c r="F1360" s="26"/>
      <c r="G1360" s="25"/>
      <c r="H1360" s="25"/>
      <c r="I1360" s="25"/>
      <c r="J1360" s="25"/>
      <c r="K1360" s="25"/>
      <c r="L1360" s="25"/>
      <c r="M1360" s="25"/>
      <c r="N1360" s="27"/>
      <c r="O1360" s="27"/>
      <c r="P1360" s="27"/>
      <c r="Q1360" s="27"/>
      <c r="R1360" s="27"/>
      <c r="S1360" s="28"/>
      <c r="T1360" s="29"/>
      <c r="U1360" s="29"/>
      <c r="V1360" s="24"/>
      <c r="W1360" s="24"/>
    </row>
    <row r="1361">
      <c r="A1361" s="41"/>
      <c r="B1361" s="25"/>
      <c r="C1361" s="25"/>
      <c r="D1361" s="25"/>
      <c r="E1361" s="25"/>
      <c r="F1361" s="26"/>
      <c r="G1361" s="25"/>
      <c r="H1361" s="25"/>
      <c r="I1361" s="25"/>
      <c r="J1361" s="25"/>
      <c r="K1361" s="25"/>
      <c r="L1361" s="25"/>
      <c r="M1361" s="25"/>
      <c r="N1361" s="27"/>
      <c r="O1361" s="27"/>
      <c r="P1361" s="27"/>
      <c r="Q1361" s="27"/>
      <c r="R1361" s="27"/>
      <c r="S1361" s="28"/>
      <c r="T1361" s="29"/>
      <c r="U1361" s="29"/>
      <c r="V1361" s="24"/>
      <c r="W1361" s="24"/>
    </row>
    <row r="1362">
      <c r="A1362" s="41"/>
      <c r="B1362" s="25"/>
      <c r="C1362" s="25"/>
      <c r="D1362" s="25"/>
      <c r="E1362" s="25"/>
      <c r="F1362" s="26"/>
      <c r="G1362" s="25"/>
      <c r="H1362" s="25"/>
      <c r="I1362" s="25"/>
      <c r="J1362" s="25"/>
      <c r="K1362" s="25"/>
      <c r="L1362" s="25"/>
      <c r="M1362" s="25"/>
      <c r="N1362" s="27"/>
      <c r="O1362" s="27"/>
      <c r="P1362" s="27"/>
      <c r="Q1362" s="27"/>
      <c r="R1362" s="27"/>
      <c r="S1362" s="28"/>
      <c r="T1362" s="29"/>
      <c r="U1362" s="29"/>
      <c r="V1362" s="24"/>
      <c r="W1362" s="24"/>
    </row>
    <row r="1363">
      <c r="A1363" s="41"/>
      <c r="B1363" s="25"/>
      <c r="C1363" s="25"/>
      <c r="D1363" s="25"/>
      <c r="E1363" s="25"/>
      <c r="F1363" s="26"/>
      <c r="G1363" s="25"/>
      <c r="H1363" s="25"/>
      <c r="I1363" s="25"/>
      <c r="J1363" s="25"/>
      <c r="K1363" s="25"/>
      <c r="L1363" s="25"/>
      <c r="M1363" s="25"/>
      <c r="N1363" s="27"/>
      <c r="O1363" s="27"/>
      <c r="P1363" s="27"/>
      <c r="Q1363" s="27"/>
      <c r="R1363" s="27"/>
      <c r="S1363" s="28"/>
      <c r="T1363" s="29"/>
      <c r="U1363" s="29"/>
      <c r="V1363" s="24"/>
      <c r="W1363" s="24"/>
    </row>
    <row r="1364">
      <c r="A1364" s="41"/>
      <c r="B1364" s="25"/>
      <c r="C1364" s="25"/>
      <c r="D1364" s="25"/>
      <c r="E1364" s="25"/>
      <c r="F1364" s="26"/>
      <c r="G1364" s="25"/>
      <c r="H1364" s="25"/>
      <c r="I1364" s="25"/>
      <c r="J1364" s="25"/>
      <c r="K1364" s="25"/>
      <c r="L1364" s="25"/>
      <c r="M1364" s="25"/>
      <c r="N1364" s="27"/>
      <c r="O1364" s="27"/>
      <c r="P1364" s="27"/>
      <c r="Q1364" s="27"/>
      <c r="R1364" s="27"/>
      <c r="S1364" s="28"/>
      <c r="T1364" s="29"/>
      <c r="U1364" s="29"/>
      <c r="V1364" s="24"/>
      <c r="W1364" s="24"/>
    </row>
    <row r="1365">
      <c r="A1365" s="41"/>
      <c r="B1365" s="25"/>
      <c r="C1365" s="25"/>
      <c r="D1365" s="25"/>
      <c r="E1365" s="25"/>
      <c r="F1365" s="26"/>
      <c r="G1365" s="25"/>
      <c r="H1365" s="25"/>
      <c r="I1365" s="25"/>
      <c r="J1365" s="25"/>
      <c r="K1365" s="25"/>
      <c r="L1365" s="25"/>
      <c r="M1365" s="25"/>
      <c r="N1365" s="27"/>
      <c r="O1365" s="27"/>
      <c r="P1365" s="27"/>
      <c r="Q1365" s="27"/>
      <c r="R1365" s="27"/>
      <c r="S1365" s="28"/>
      <c r="T1365" s="29"/>
      <c r="U1365" s="29"/>
      <c r="V1365" s="24"/>
      <c r="W1365" s="24"/>
    </row>
    <row r="1366">
      <c r="A1366" s="41"/>
      <c r="B1366" s="25"/>
      <c r="C1366" s="25"/>
      <c r="D1366" s="25"/>
      <c r="E1366" s="25"/>
      <c r="F1366" s="26"/>
      <c r="G1366" s="25"/>
      <c r="H1366" s="25"/>
      <c r="I1366" s="25"/>
      <c r="J1366" s="25"/>
      <c r="K1366" s="25"/>
      <c r="L1366" s="25"/>
      <c r="M1366" s="25"/>
      <c r="N1366" s="27"/>
      <c r="O1366" s="27"/>
      <c r="P1366" s="27"/>
      <c r="Q1366" s="27"/>
      <c r="R1366" s="27"/>
      <c r="S1366" s="28"/>
      <c r="T1366" s="29"/>
      <c r="U1366" s="29"/>
      <c r="V1366" s="24"/>
      <c r="W1366" s="24"/>
    </row>
    <row r="1367">
      <c r="A1367" s="41"/>
      <c r="B1367" s="25"/>
      <c r="C1367" s="25"/>
      <c r="D1367" s="25"/>
      <c r="E1367" s="25"/>
      <c r="F1367" s="26"/>
      <c r="G1367" s="25"/>
      <c r="H1367" s="25"/>
      <c r="I1367" s="25"/>
      <c r="J1367" s="25"/>
      <c r="K1367" s="25"/>
      <c r="L1367" s="25"/>
      <c r="M1367" s="25"/>
      <c r="N1367" s="27"/>
      <c r="O1367" s="27"/>
      <c r="P1367" s="27"/>
      <c r="Q1367" s="27"/>
      <c r="R1367" s="27"/>
      <c r="S1367" s="28"/>
      <c r="T1367" s="29"/>
      <c r="U1367" s="29"/>
      <c r="V1367" s="24"/>
      <c r="W1367" s="24"/>
    </row>
    <row r="1368">
      <c r="A1368" s="41"/>
      <c r="B1368" s="25"/>
      <c r="C1368" s="25"/>
      <c r="D1368" s="25"/>
      <c r="E1368" s="25"/>
      <c r="F1368" s="26"/>
      <c r="G1368" s="25"/>
      <c r="H1368" s="25"/>
      <c r="I1368" s="25"/>
      <c r="J1368" s="25"/>
      <c r="K1368" s="25"/>
      <c r="L1368" s="25"/>
      <c r="M1368" s="25"/>
      <c r="N1368" s="27"/>
      <c r="O1368" s="27"/>
      <c r="P1368" s="27"/>
      <c r="Q1368" s="27"/>
      <c r="R1368" s="27"/>
      <c r="S1368" s="28"/>
      <c r="T1368" s="29"/>
      <c r="U1368" s="29"/>
      <c r="V1368" s="24"/>
      <c r="W1368" s="24"/>
    </row>
    <row r="1369">
      <c r="A1369" s="41"/>
      <c r="B1369" s="25"/>
      <c r="C1369" s="25"/>
      <c r="D1369" s="25"/>
      <c r="E1369" s="25"/>
      <c r="F1369" s="26"/>
      <c r="G1369" s="25"/>
      <c r="H1369" s="25"/>
      <c r="I1369" s="25"/>
      <c r="J1369" s="25"/>
      <c r="K1369" s="25"/>
      <c r="L1369" s="25"/>
      <c r="M1369" s="25"/>
      <c r="N1369" s="27"/>
      <c r="O1369" s="27"/>
      <c r="P1369" s="27"/>
      <c r="Q1369" s="27"/>
      <c r="R1369" s="27"/>
      <c r="S1369" s="28"/>
      <c r="T1369" s="29"/>
      <c r="U1369" s="29"/>
      <c r="V1369" s="24"/>
      <c r="W1369" s="24"/>
    </row>
    <row r="1370">
      <c r="A1370" s="41"/>
      <c r="B1370" s="25"/>
      <c r="C1370" s="25"/>
      <c r="D1370" s="25"/>
      <c r="E1370" s="25"/>
      <c r="F1370" s="26"/>
      <c r="G1370" s="25"/>
      <c r="H1370" s="25"/>
      <c r="I1370" s="25"/>
      <c r="J1370" s="25"/>
      <c r="K1370" s="25"/>
      <c r="L1370" s="25"/>
      <c r="M1370" s="25"/>
      <c r="N1370" s="27"/>
      <c r="O1370" s="27"/>
      <c r="P1370" s="27"/>
      <c r="Q1370" s="27"/>
      <c r="R1370" s="27"/>
      <c r="S1370" s="28"/>
      <c r="T1370" s="29"/>
      <c r="U1370" s="29"/>
      <c r="V1370" s="24"/>
      <c r="W1370" s="24"/>
    </row>
    <row r="1371">
      <c r="A1371" s="41"/>
      <c r="B1371" s="25"/>
      <c r="C1371" s="25"/>
      <c r="D1371" s="25"/>
      <c r="E1371" s="25"/>
      <c r="F1371" s="26"/>
      <c r="G1371" s="25"/>
      <c r="H1371" s="25"/>
      <c r="I1371" s="25"/>
      <c r="J1371" s="25"/>
      <c r="K1371" s="25"/>
      <c r="L1371" s="25"/>
      <c r="M1371" s="25"/>
      <c r="N1371" s="27"/>
      <c r="O1371" s="27"/>
      <c r="P1371" s="27"/>
      <c r="Q1371" s="27"/>
      <c r="R1371" s="27"/>
      <c r="S1371" s="28"/>
      <c r="T1371" s="29"/>
      <c r="U1371" s="29"/>
      <c r="V1371" s="24"/>
      <c r="W1371" s="24"/>
    </row>
    <row r="1372">
      <c r="A1372" s="41"/>
      <c r="B1372" s="25"/>
      <c r="C1372" s="25"/>
      <c r="D1372" s="25"/>
      <c r="E1372" s="25"/>
      <c r="F1372" s="26"/>
      <c r="G1372" s="25"/>
      <c r="H1372" s="25"/>
      <c r="I1372" s="25"/>
      <c r="J1372" s="25"/>
      <c r="K1372" s="25"/>
      <c r="L1372" s="25"/>
      <c r="M1372" s="25"/>
      <c r="N1372" s="27"/>
      <c r="O1372" s="27"/>
      <c r="P1372" s="27"/>
      <c r="Q1372" s="27"/>
      <c r="R1372" s="27"/>
      <c r="S1372" s="28"/>
      <c r="T1372" s="29"/>
      <c r="U1372" s="29"/>
      <c r="V1372" s="24"/>
      <c r="W1372" s="24"/>
    </row>
    <row r="1373">
      <c r="A1373" s="41"/>
      <c r="B1373" s="25"/>
      <c r="C1373" s="25"/>
      <c r="D1373" s="25"/>
      <c r="E1373" s="25"/>
      <c r="F1373" s="26"/>
      <c r="G1373" s="25"/>
      <c r="H1373" s="25"/>
      <c r="I1373" s="25"/>
      <c r="J1373" s="25"/>
      <c r="K1373" s="25"/>
      <c r="L1373" s="25"/>
      <c r="M1373" s="25"/>
      <c r="N1373" s="27"/>
      <c r="O1373" s="27"/>
      <c r="P1373" s="27"/>
      <c r="Q1373" s="27"/>
      <c r="R1373" s="27"/>
      <c r="S1373" s="28"/>
      <c r="T1373" s="29"/>
      <c r="U1373" s="29"/>
      <c r="V1373" s="24"/>
      <c r="W1373" s="24"/>
    </row>
    <row r="1374">
      <c r="A1374" s="41"/>
      <c r="B1374" s="25"/>
      <c r="C1374" s="25"/>
      <c r="D1374" s="25"/>
      <c r="E1374" s="25"/>
      <c r="F1374" s="26"/>
      <c r="G1374" s="25"/>
      <c r="H1374" s="25"/>
      <c r="I1374" s="25"/>
      <c r="J1374" s="25"/>
      <c r="K1374" s="25"/>
      <c r="L1374" s="25"/>
      <c r="M1374" s="25"/>
      <c r="N1374" s="27"/>
      <c r="O1374" s="27"/>
      <c r="P1374" s="27"/>
      <c r="Q1374" s="27"/>
      <c r="R1374" s="27"/>
      <c r="S1374" s="28"/>
      <c r="T1374" s="29"/>
      <c r="U1374" s="29"/>
      <c r="V1374" s="24"/>
      <c r="W1374" s="24"/>
    </row>
    <row r="1375">
      <c r="A1375" s="41"/>
      <c r="B1375" s="25"/>
      <c r="C1375" s="25"/>
      <c r="D1375" s="25"/>
      <c r="E1375" s="25"/>
      <c r="F1375" s="26"/>
      <c r="G1375" s="25"/>
      <c r="H1375" s="25"/>
      <c r="I1375" s="25"/>
      <c r="J1375" s="25"/>
      <c r="K1375" s="25"/>
      <c r="L1375" s="25"/>
      <c r="M1375" s="25"/>
      <c r="N1375" s="27"/>
      <c r="O1375" s="27"/>
      <c r="P1375" s="27"/>
      <c r="Q1375" s="27"/>
      <c r="R1375" s="27"/>
      <c r="S1375" s="28"/>
      <c r="T1375" s="29"/>
      <c r="U1375" s="29"/>
      <c r="V1375" s="24"/>
      <c r="W1375" s="24"/>
    </row>
    <row r="1376">
      <c r="A1376" s="41"/>
      <c r="B1376" s="25"/>
      <c r="C1376" s="25"/>
      <c r="D1376" s="25"/>
      <c r="E1376" s="25"/>
      <c r="F1376" s="26"/>
      <c r="G1376" s="25"/>
      <c r="H1376" s="25"/>
      <c r="I1376" s="25"/>
      <c r="J1376" s="25"/>
      <c r="K1376" s="25"/>
      <c r="L1376" s="25"/>
      <c r="M1376" s="25"/>
      <c r="N1376" s="27"/>
      <c r="O1376" s="27"/>
      <c r="P1376" s="27"/>
      <c r="Q1376" s="27"/>
      <c r="R1376" s="27"/>
      <c r="S1376" s="28"/>
      <c r="T1376" s="29"/>
      <c r="U1376" s="29"/>
      <c r="V1376" s="24"/>
      <c r="W1376" s="24"/>
    </row>
    <row r="1377">
      <c r="A1377" s="41"/>
      <c r="B1377" s="25"/>
      <c r="C1377" s="25"/>
      <c r="D1377" s="25"/>
      <c r="E1377" s="25"/>
      <c r="F1377" s="26"/>
      <c r="G1377" s="25"/>
      <c r="H1377" s="25"/>
      <c r="I1377" s="25"/>
      <c r="J1377" s="25"/>
      <c r="K1377" s="25"/>
      <c r="L1377" s="25"/>
      <c r="M1377" s="25"/>
      <c r="N1377" s="27"/>
      <c r="O1377" s="27"/>
      <c r="P1377" s="27"/>
      <c r="Q1377" s="27"/>
      <c r="R1377" s="27"/>
      <c r="S1377" s="28"/>
      <c r="T1377" s="29"/>
      <c r="U1377" s="29"/>
      <c r="V1377" s="24"/>
      <c r="W1377" s="24"/>
    </row>
    <row r="1378">
      <c r="A1378" s="41"/>
      <c r="B1378" s="25"/>
      <c r="C1378" s="25"/>
      <c r="D1378" s="25"/>
      <c r="E1378" s="25"/>
      <c r="F1378" s="26"/>
      <c r="G1378" s="25"/>
      <c r="H1378" s="25"/>
      <c r="I1378" s="25"/>
      <c r="J1378" s="25"/>
      <c r="K1378" s="25"/>
      <c r="L1378" s="25"/>
      <c r="M1378" s="25"/>
      <c r="N1378" s="27"/>
      <c r="O1378" s="27"/>
      <c r="P1378" s="27"/>
      <c r="Q1378" s="27"/>
      <c r="R1378" s="27"/>
      <c r="S1378" s="28"/>
      <c r="T1378" s="29"/>
      <c r="U1378" s="29"/>
      <c r="V1378" s="24"/>
      <c r="W1378" s="24"/>
    </row>
    <row r="1379">
      <c r="A1379" s="41"/>
      <c r="B1379" s="25"/>
      <c r="C1379" s="25"/>
      <c r="D1379" s="25"/>
      <c r="E1379" s="25"/>
      <c r="F1379" s="26"/>
      <c r="G1379" s="25"/>
      <c r="H1379" s="25"/>
      <c r="I1379" s="25"/>
      <c r="J1379" s="25"/>
      <c r="K1379" s="25"/>
      <c r="L1379" s="25"/>
      <c r="M1379" s="25"/>
      <c r="N1379" s="27"/>
      <c r="O1379" s="27"/>
      <c r="P1379" s="27"/>
      <c r="Q1379" s="27"/>
      <c r="R1379" s="27"/>
      <c r="S1379" s="28"/>
      <c r="T1379" s="29"/>
      <c r="U1379" s="29"/>
      <c r="V1379" s="24"/>
      <c r="W1379" s="24"/>
    </row>
    <row r="1380">
      <c r="A1380" s="41"/>
      <c r="B1380" s="25"/>
      <c r="C1380" s="25"/>
      <c r="D1380" s="25"/>
      <c r="E1380" s="25"/>
      <c r="F1380" s="26"/>
      <c r="G1380" s="25"/>
      <c r="H1380" s="25"/>
      <c r="I1380" s="25"/>
      <c r="J1380" s="25"/>
      <c r="K1380" s="25"/>
      <c r="L1380" s="25"/>
      <c r="M1380" s="25"/>
      <c r="N1380" s="27"/>
      <c r="O1380" s="27"/>
      <c r="P1380" s="27"/>
      <c r="Q1380" s="27"/>
      <c r="R1380" s="27"/>
      <c r="S1380" s="28"/>
      <c r="T1380" s="29"/>
      <c r="U1380" s="29"/>
      <c r="V1380" s="24"/>
      <c r="W1380" s="24"/>
    </row>
    <row r="1381">
      <c r="A1381" s="41"/>
      <c r="B1381" s="25"/>
      <c r="C1381" s="25"/>
      <c r="D1381" s="25"/>
      <c r="E1381" s="25"/>
      <c r="F1381" s="26"/>
      <c r="G1381" s="25"/>
      <c r="H1381" s="25"/>
      <c r="I1381" s="25"/>
      <c r="J1381" s="25"/>
      <c r="K1381" s="25"/>
      <c r="L1381" s="25"/>
      <c r="M1381" s="25"/>
      <c r="N1381" s="27"/>
      <c r="O1381" s="27"/>
      <c r="P1381" s="27"/>
      <c r="Q1381" s="27"/>
      <c r="R1381" s="27"/>
      <c r="S1381" s="28"/>
      <c r="T1381" s="29"/>
      <c r="U1381" s="29"/>
      <c r="V1381" s="24"/>
      <c r="W1381" s="24"/>
    </row>
    <row r="1382">
      <c r="A1382" s="41"/>
      <c r="B1382" s="25"/>
      <c r="C1382" s="25"/>
      <c r="D1382" s="25"/>
      <c r="E1382" s="25"/>
      <c r="F1382" s="26"/>
      <c r="G1382" s="25"/>
      <c r="H1382" s="25"/>
      <c r="I1382" s="25"/>
      <c r="J1382" s="25"/>
      <c r="K1382" s="25"/>
      <c r="L1382" s="25"/>
      <c r="M1382" s="25"/>
      <c r="N1382" s="27"/>
      <c r="O1382" s="27"/>
      <c r="P1382" s="27"/>
      <c r="Q1382" s="27"/>
      <c r="R1382" s="27"/>
      <c r="S1382" s="28"/>
      <c r="T1382" s="29"/>
      <c r="U1382" s="29"/>
      <c r="V1382" s="24"/>
      <c r="W1382" s="24"/>
    </row>
    <row r="1383">
      <c r="A1383" s="41"/>
      <c r="B1383" s="25"/>
      <c r="C1383" s="25"/>
      <c r="D1383" s="25"/>
      <c r="E1383" s="25"/>
      <c r="F1383" s="26"/>
      <c r="G1383" s="25"/>
      <c r="H1383" s="25"/>
      <c r="I1383" s="25"/>
      <c r="J1383" s="25"/>
      <c r="K1383" s="25"/>
      <c r="L1383" s="25"/>
      <c r="M1383" s="25"/>
      <c r="N1383" s="27"/>
      <c r="O1383" s="27"/>
      <c r="P1383" s="27"/>
      <c r="Q1383" s="27"/>
      <c r="R1383" s="27"/>
      <c r="S1383" s="28"/>
      <c r="T1383" s="29"/>
      <c r="U1383" s="29"/>
      <c r="V1383" s="24"/>
      <c r="W1383" s="24"/>
    </row>
    <row r="1384">
      <c r="A1384" s="41"/>
      <c r="B1384" s="25"/>
      <c r="C1384" s="25"/>
      <c r="D1384" s="25"/>
      <c r="E1384" s="25"/>
      <c r="F1384" s="26"/>
      <c r="G1384" s="25"/>
      <c r="H1384" s="25"/>
      <c r="I1384" s="25"/>
      <c r="J1384" s="25"/>
      <c r="K1384" s="25"/>
      <c r="L1384" s="25"/>
      <c r="M1384" s="25"/>
      <c r="N1384" s="27"/>
      <c r="O1384" s="27"/>
      <c r="P1384" s="27"/>
      <c r="Q1384" s="27"/>
      <c r="R1384" s="27"/>
      <c r="S1384" s="28"/>
      <c r="T1384" s="29"/>
      <c r="U1384" s="29"/>
      <c r="V1384" s="24"/>
      <c r="W1384" s="24"/>
    </row>
    <row r="1385">
      <c r="A1385" s="41"/>
      <c r="B1385" s="25"/>
      <c r="C1385" s="25"/>
      <c r="D1385" s="25"/>
      <c r="E1385" s="25"/>
      <c r="F1385" s="26"/>
      <c r="G1385" s="25"/>
      <c r="H1385" s="25"/>
      <c r="I1385" s="25"/>
      <c r="J1385" s="25"/>
      <c r="K1385" s="25"/>
      <c r="L1385" s="25"/>
      <c r="M1385" s="25"/>
      <c r="N1385" s="27"/>
      <c r="O1385" s="27"/>
      <c r="P1385" s="27"/>
      <c r="Q1385" s="27"/>
      <c r="R1385" s="27"/>
      <c r="S1385" s="28"/>
      <c r="T1385" s="29"/>
      <c r="U1385" s="29"/>
      <c r="V1385" s="24"/>
      <c r="W1385" s="24"/>
    </row>
    <row r="1386">
      <c r="A1386" s="41"/>
      <c r="B1386" s="25"/>
      <c r="C1386" s="25"/>
      <c r="D1386" s="25"/>
      <c r="E1386" s="25"/>
      <c r="F1386" s="26"/>
      <c r="G1386" s="25"/>
      <c r="H1386" s="25"/>
      <c r="I1386" s="25"/>
      <c r="J1386" s="25"/>
      <c r="K1386" s="25"/>
      <c r="L1386" s="25"/>
      <c r="M1386" s="25"/>
      <c r="N1386" s="27"/>
      <c r="O1386" s="27"/>
      <c r="P1386" s="27"/>
      <c r="Q1386" s="27"/>
      <c r="R1386" s="27"/>
      <c r="S1386" s="28"/>
      <c r="T1386" s="29"/>
      <c r="U1386" s="29"/>
      <c r="V1386" s="24"/>
      <c r="W1386" s="24"/>
    </row>
    <row r="1387">
      <c r="A1387" s="41"/>
      <c r="B1387" s="25"/>
      <c r="C1387" s="25"/>
      <c r="D1387" s="25"/>
      <c r="E1387" s="25"/>
      <c r="F1387" s="26"/>
      <c r="G1387" s="25"/>
      <c r="H1387" s="25"/>
      <c r="I1387" s="25"/>
      <c r="J1387" s="25"/>
      <c r="K1387" s="25"/>
      <c r="L1387" s="25"/>
      <c r="M1387" s="25"/>
      <c r="N1387" s="27"/>
      <c r="O1387" s="27"/>
      <c r="P1387" s="27"/>
      <c r="Q1387" s="27"/>
      <c r="R1387" s="27"/>
      <c r="S1387" s="28"/>
      <c r="T1387" s="29"/>
      <c r="U1387" s="29"/>
      <c r="V1387" s="24"/>
      <c r="W1387" s="24"/>
    </row>
    <row r="1388">
      <c r="A1388" s="41"/>
      <c r="B1388" s="25"/>
      <c r="C1388" s="25"/>
      <c r="D1388" s="25"/>
      <c r="E1388" s="25"/>
      <c r="F1388" s="26"/>
      <c r="G1388" s="25"/>
      <c r="H1388" s="25"/>
      <c r="I1388" s="25"/>
      <c r="J1388" s="25"/>
      <c r="K1388" s="25"/>
      <c r="L1388" s="25"/>
      <c r="M1388" s="25"/>
      <c r="N1388" s="27"/>
      <c r="O1388" s="27"/>
      <c r="P1388" s="27"/>
      <c r="Q1388" s="27"/>
      <c r="R1388" s="27"/>
      <c r="S1388" s="28"/>
      <c r="T1388" s="29"/>
      <c r="U1388" s="29"/>
      <c r="V1388" s="24"/>
      <c r="W1388" s="24"/>
    </row>
    <row r="1389">
      <c r="A1389" s="41"/>
      <c r="B1389" s="25"/>
      <c r="C1389" s="25"/>
      <c r="D1389" s="25"/>
      <c r="E1389" s="25"/>
      <c r="F1389" s="26"/>
      <c r="G1389" s="25"/>
      <c r="H1389" s="25"/>
      <c r="I1389" s="25"/>
      <c r="J1389" s="25"/>
      <c r="K1389" s="25"/>
      <c r="L1389" s="25"/>
      <c r="M1389" s="25"/>
      <c r="N1389" s="27"/>
      <c r="O1389" s="27"/>
      <c r="P1389" s="27"/>
      <c r="Q1389" s="27"/>
      <c r="R1389" s="27"/>
      <c r="S1389" s="28"/>
      <c r="T1389" s="29"/>
      <c r="U1389" s="29"/>
      <c r="V1389" s="24"/>
      <c r="W1389" s="24"/>
    </row>
    <row r="1390">
      <c r="A1390" s="41"/>
      <c r="B1390" s="25"/>
      <c r="C1390" s="25"/>
      <c r="D1390" s="25"/>
      <c r="E1390" s="25"/>
      <c r="F1390" s="26"/>
      <c r="G1390" s="25"/>
      <c r="H1390" s="25"/>
      <c r="I1390" s="25"/>
      <c r="J1390" s="25"/>
      <c r="K1390" s="25"/>
      <c r="L1390" s="25"/>
      <c r="M1390" s="25"/>
      <c r="N1390" s="27"/>
      <c r="O1390" s="27"/>
      <c r="P1390" s="27"/>
      <c r="Q1390" s="27"/>
      <c r="R1390" s="27"/>
      <c r="S1390" s="28"/>
      <c r="T1390" s="29"/>
      <c r="U1390" s="29"/>
      <c r="V1390" s="24"/>
      <c r="W1390" s="24"/>
    </row>
    <row r="1391">
      <c r="A1391" s="41"/>
      <c r="B1391" s="25"/>
      <c r="C1391" s="25"/>
      <c r="D1391" s="25"/>
      <c r="E1391" s="25"/>
      <c r="F1391" s="26"/>
      <c r="G1391" s="25"/>
      <c r="H1391" s="25"/>
      <c r="I1391" s="25"/>
      <c r="J1391" s="25"/>
      <c r="K1391" s="25"/>
      <c r="L1391" s="25"/>
      <c r="M1391" s="25"/>
      <c r="N1391" s="27"/>
      <c r="O1391" s="27"/>
      <c r="P1391" s="27"/>
      <c r="Q1391" s="27"/>
      <c r="R1391" s="27"/>
      <c r="S1391" s="28"/>
      <c r="T1391" s="29"/>
      <c r="U1391" s="29"/>
      <c r="V1391" s="24"/>
      <c r="W1391" s="24"/>
    </row>
    <row r="1392">
      <c r="A1392" s="41"/>
      <c r="B1392" s="25"/>
      <c r="C1392" s="25"/>
      <c r="D1392" s="25"/>
      <c r="E1392" s="25"/>
      <c r="F1392" s="26"/>
      <c r="G1392" s="25"/>
      <c r="H1392" s="25"/>
      <c r="I1392" s="25"/>
      <c r="J1392" s="25"/>
      <c r="K1392" s="25"/>
      <c r="L1392" s="25"/>
      <c r="M1392" s="25"/>
      <c r="N1392" s="27"/>
      <c r="O1392" s="27"/>
      <c r="P1392" s="27"/>
      <c r="Q1392" s="27"/>
      <c r="R1392" s="27"/>
      <c r="S1392" s="28"/>
      <c r="T1392" s="29"/>
      <c r="U1392" s="29"/>
      <c r="V1392" s="24"/>
      <c r="W1392" s="24"/>
    </row>
    <row r="1393">
      <c r="A1393" s="41"/>
      <c r="B1393" s="25"/>
      <c r="C1393" s="25"/>
      <c r="D1393" s="25"/>
      <c r="E1393" s="25"/>
      <c r="F1393" s="26"/>
      <c r="G1393" s="25"/>
      <c r="H1393" s="25"/>
      <c r="I1393" s="25"/>
      <c r="J1393" s="25"/>
      <c r="K1393" s="25"/>
      <c r="L1393" s="25"/>
      <c r="M1393" s="25"/>
      <c r="N1393" s="27"/>
      <c r="O1393" s="27"/>
      <c r="P1393" s="27"/>
      <c r="Q1393" s="27"/>
      <c r="R1393" s="27"/>
      <c r="S1393" s="28"/>
      <c r="T1393" s="29"/>
      <c r="U1393" s="29"/>
      <c r="V1393" s="24"/>
      <c r="W1393" s="24"/>
    </row>
    <row r="1394">
      <c r="A1394" s="41"/>
      <c r="B1394" s="25"/>
      <c r="C1394" s="25"/>
      <c r="D1394" s="25"/>
      <c r="E1394" s="25"/>
      <c r="F1394" s="26"/>
      <c r="G1394" s="25"/>
      <c r="H1394" s="25"/>
      <c r="I1394" s="25"/>
      <c r="J1394" s="25"/>
      <c r="K1394" s="25"/>
      <c r="L1394" s="25"/>
      <c r="M1394" s="25"/>
      <c r="N1394" s="27"/>
      <c r="O1394" s="27"/>
      <c r="P1394" s="27"/>
      <c r="Q1394" s="27"/>
      <c r="R1394" s="27"/>
      <c r="S1394" s="28"/>
      <c r="T1394" s="29"/>
      <c r="U1394" s="29"/>
      <c r="V1394" s="24"/>
      <c r="W1394" s="24"/>
    </row>
    <row r="1395">
      <c r="A1395" s="41"/>
      <c r="B1395" s="25"/>
      <c r="C1395" s="25"/>
      <c r="D1395" s="25"/>
      <c r="E1395" s="25"/>
      <c r="F1395" s="26"/>
      <c r="G1395" s="25"/>
      <c r="H1395" s="25"/>
      <c r="I1395" s="25"/>
      <c r="J1395" s="25"/>
      <c r="K1395" s="25"/>
      <c r="L1395" s="25"/>
      <c r="M1395" s="25"/>
      <c r="N1395" s="27"/>
      <c r="O1395" s="27"/>
      <c r="P1395" s="27"/>
      <c r="Q1395" s="27"/>
      <c r="R1395" s="27"/>
      <c r="S1395" s="28"/>
      <c r="T1395" s="29"/>
      <c r="U1395" s="29"/>
      <c r="V1395" s="24"/>
      <c r="W1395" s="24"/>
    </row>
    <row r="1396">
      <c r="A1396" s="41"/>
      <c r="B1396" s="25"/>
      <c r="C1396" s="25"/>
      <c r="D1396" s="25"/>
      <c r="E1396" s="25"/>
      <c r="F1396" s="26"/>
      <c r="G1396" s="25"/>
      <c r="H1396" s="25"/>
      <c r="I1396" s="25"/>
      <c r="J1396" s="25"/>
      <c r="K1396" s="25"/>
      <c r="L1396" s="25"/>
      <c r="M1396" s="25"/>
      <c r="N1396" s="27"/>
      <c r="O1396" s="27"/>
      <c r="P1396" s="27"/>
      <c r="Q1396" s="27"/>
      <c r="R1396" s="27"/>
      <c r="S1396" s="28"/>
      <c r="T1396" s="29"/>
      <c r="U1396" s="29"/>
      <c r="V1396" s="24"/>
      <c r="W1396" s="24"/>
    </row>
    <row r="1397">
      <c r="A1397" s="41"/>
      <c r="B1397" s="25"/>
      <c r="C1397" s="25"/>
      <c r="D1397" s="25"/>
      <c r="E1397" s="25"/>
      <c r="F1397" s="26"/>
      <c r="G1397" s="25"/>
      <c r="H1397" s="25"/>
      <c r="I1397" s="25"/>
      <c r="J1397" s="25"/>
      <c r="K1397" s="25"/>
      <c r="L1397" s="25"/>
      <c r="M1397" s="25"/>
      <c r="N1397" s="27"/>
      <c r="O1397" s="27"/>
      <c r="P1397" s="27"/>
      <c r="Q1397" s="27"/>
      <c r="R1397" s="27"/>
      <c r="S1397" s="28"/>
      <c r="T1397" s="29"/>
      <c r="U1397" s="29"/>
      <c r="V1397" s="24"/>
      <c r="W1397" s="24"/>
    </row>
    <row r="1398">
      <c r="A1398" s="41"/>
      <c r="B1398" s="25"/>
      <c r="C1398" s="25"/>
      <c r="D1398" s="25"/>
      <c r="E1398" s="25"/>
      <c r="F1398" s="26"/>
      <c r="G1398" s="25"/>
      <c r="H1398" s="25"/>
      <c r="I1398" s="25"/>
      <c r="J1398" s="25"/>
      <c r="K1398" s="25"/>
      <c r="L1398" s="25"/>
      <c r="M1398" s="25"/>
      <c r="N1398" s="27"/>
      <c r="O1398" s="27"/>
      <c r="P1398" s="27"/>
      <c r="Q1398" s="27"/>
      <c r="R1398" s="27"/>
      <c r="S1398" s="28"/>
      <c r="T1398" s="29"/>
      <c r="U1398" s="29"/>
      <c r="V1398" s="24"/>
      <c r="W1398" s="24"/>
    </row>
    <row r="1399">
      <c r="A1399" s="41"/>
      <c r="B1399" s="25"/>
      <c r="C1399" s="25"/>
      <c r="D1399" s="25"/>
      <c r="E1399" s="25"/>
      <c r="F1399" s="26"/>
      <c r="G1399" s="25"/>
      <c r="H1399" s="25"/>
      <c r="I1399" s="25"/>
      <c r="J1399" s="25"/>
      <c r="K1399" s="25"/>
      <c r="L1399" s="25"/>
      <c r="M1399" s="25"/>
      <c r="N1399" s="27"/>
      <c r="O1399" s="27"/>
      <c r="P1399" s="27"/>
      <c r="Q1399" s="27"/>
      <c r="R1399" s="27"/>
      <c r="S1399" s="28"/>
      <c r="T1399" s="29"/>
      <c r="U1399" s="29"/>
      <c r="V1399" s="24"/>
      <c r="W1399" s="24"/>
    </row>
    <row r="1400">
      <c r="A1400" s="41"/>
      <c r="B1400" s="25"/>
      <c r="C1400" s="25"/>
      <c r="D1400" s="25"/>
      <c r="E1400" s="25"/>
      <c r="F1400" s="26"/>
      <c r="G1400" s="25"/>
      <c r="H1400" s="25"/>
      <c r="I1400" s="25"/>
      <c r="J1400" s="25"/>
      <c r="K1400" s="25"/>
      <c r="L1400" s="25"/>
      <c r="M1400" s="25"/>
      <c r="N1400" s="27"/>
      <c r="O1400" s="27"/>
      <c r="P1400" s="27"/>
      <c r="Q1400" s="27"/>
      <c r="R1400" s="27"/>
      <c r="S1400" s="28"/>
      <c r="T1400" s="29"/>
      <c r="U1400" s="29"/>
      <c r="V1400" s="24"/>
      <c r="W1400" s="24"/>
    </row>
    <row r="1401">
      <c r="A1401" s="41"/>
      <c r="B1401" s="25"/>
      <c r="C1401" s="25"/>
      <c r="D1401" s="25"/>
      <c r="E1401" s="25"/>
      <c r="F1401" s="26"/>
      <c r="G1401" s="25"/>
      <c r="H1401" s="25"/>
      <c r="I1401" s="25"/>
      <c r="J1401" s="25"/>
      <c r="K1401" s="25"/>
      <c r="L1401" s="25"/>
      <c r="M1401" s="25"/>
      <c r="N1401" s="27"/>
      <c r="O1401" s="27"/>
      <c r="P1401" s="27"/>
      <c r="Q1401" s="27"/>
      <c r="R1401" s="27"/>
      <c r="S1401" s="28"/>
      <c r="T1401" s="29"/>
      <c r="U1401" s="29"/>
      <c r="V1401" s="24"/>
      <c r="W1401" s="24"/>
    </row>
    <row r="1402">
      <c r="A1402" s="41"/>
      <c r="B1402" s="25"/>
      <c r="C1402" s="25"/>
      <c r="D1402" s="25"/>
      <c r="E1402" s="25"/>
      <c r="F1402" s="26"/>
      <c r="G1402" s="25"/>
      <c r="H1402" s="25"/>
      <c r="I1402" s="25"/>
      <c r="J1402" s="25"/>
      <c r="K1402" s="25"/>
      <c r="L1402" s="25"/>
      <c r="M1402" s="25"/>
      <c r="N1402" s="27"/>
      <c r="O1402" s="27"/>
      <c r="P1402" s="27"/>
      <c r="Q1402" s="27"/>
      <c r="R1402" s="27"/>
      <c r="S1402" s="28"/>
      <c r="T1402" s="29"/>
      <c r="U1402" s="29"/>
      <c r="V1402" s="24"/>
      <c r="W1402" s="24"/>
    </row>
    <row r="1403">
      <c r="A1403" s="41"/>
      <c r="B1403" s="25"/>
      <c r="C1403" s="25"/>
      <c r="D1403" s="25"/>
      <c r="E1403" s="25"/>
      <c r="F1403" s="26"/>
      <c r="G1403" s="25"/>
      <c r="H1403" s="25"/>
      <c r="I1403" s="25"/>
      <c r="J1403" s="25"/>
      <c r="K1403" s="25"/>
      <c r="L1403" s="25"/>
      <c r="M1403" s="25"/>
      <c r="N1403" s="27"/>
      <c r="O1403" s="27"/>
      <c r="P1403" s="27"/>
      <c r="Q1403" s="27"/>
      <c r="R1403" s="27"/>
      <c r="S1403" s="28"/>
      <c r="T1403" s="29"/>
      <c r="U1403" s="29"/>
      <c r="V1403" s="24"/>
      <c r="W1403" s="24"/>
    </row>
    <row r="1404">
      <c r="A1404" s="41"/>
      <c r="B1404" s="25"/>
      <c r="C1404" s="25"/>
      <c r="D1404" s="25"/>
      <c r="E1404" s="25"/>
      <c r="F1404" s="26"/>
      <c r="G1404" s="25"/>
      <c r="H1404" s="25"/>
      <c r="I1404" s="25"/>
      <c r="J1404" s="25"/>
      <c r="K1404" s="25"/>
      <c r="L1404" s="25"/>
      <c r="M1404" s="25"/>
      <c r="N1404" s="27"/>
      <c r="O1404" s="27"/>
      <c r="P1404" s="27"/>
      <c r="Q1404" s="27"/>
      <c r="R1404" s="27"/>
      <c r="S1404" s="28"/>
      <c r="T1404" s="29"/>
      <c r="U1404" s="29"/>
      <c r="V1404" s="24"/>
      <c r="W1404" s="24"/>
    </row>
    <row r="1405">
      <c r="A1405" s="41"/>
      <c r="B1405" s="25"/>
      <c r="C1405" s="25"/>
      <c r="D1405" s="25"/>
      <c r="E1405" s="25"/>
      <c r="F1405" s="26"/>
      <c r="G1405" s="25"/>
      <c r="H1405" s="25"/>
      <c r="I1405" s="25"/>
      <c r="J1405" s="25"/>
      <c r="K1405" s="25"/>
      <c r="L1405" s="25"/>
      <c r="M1405" s="25"/>
      <c r="N1405" s="27"/>
      <c r="O1405" s="27"/>
      <c r="P1405" s="27"/>
      <c r="Q1405" s="27"/>
      <c r="R1405" s="27"/>
      <c r="S1405" s="28"/>
      <c r="T1405" s="29"/>
      <c r="U1405" s="29"/>
      <c r="V1405" s="24"/>
      <c r="W1405" s="24"/>
    </row>
    <row r="1406">
      <c r="A1406" s="41"/>
      <c r="B1406" s="25"/>
      <c r="C1406" s="25"/>
      <c r="D1406" s="25"/>
      <c r="E1406" s="25"/>
      <c r="F1406" s="26"/>
      <c r="G1406" s="25"/>
      <c r="H1406" s="25"/>
      <c r="I1406" s="25"/>
      <c r="J1406" s="25"/>
      <c r="K1406" s="25"/>
      <c r="L1406" s="25"/>
      <c r="M1406" s="25"/>
      <c r="N1406" s="27"/>
      <c r="O1406" s="27"/>
      <c r="P1406" s="27"/>
      <c r="Q1406" s="27"/>
      <c r="R1406" s="27"/>
      <c r="S1406" s="28"/>
      <c r="T1406" s="29"/>
      <c r="U1406" s="29"/>
      <c r="V1406" s="24"/>
      <c r="W1406" s="24"/>
    </row>
    <row r="1407">
      <c r="A1407" s="41"/>
      <c r="B1407" s="25"/>
      <c r="C1407" s="25"/>
      <c r="D1407" s="25"/>
      <c r="E1407" s="25"/>
      <c r="F1407" s="26"/>
      <c r="G1407" s="25"/>
      <c r="H1407" s="25"/>
      <c r="I1407" s="25"/>
      <c r="J1407" s="25"/>
      <c r="K1407" s="25"/>
      <c r="L1407" s="25"/>
      <c r="M1407" s="25"/>
      <c r="N1407" s="27"/>
      <c r="O1407" s="27"/>
      <c r="P1407" s="27"/>
      <c r="Q1407" s="27"/>
      <c r="R1407" s="27"/>
      <c r="S1407" s="28"/>
      <c r="T1407" s="29"/>
      <c r="U1407" s="29"/>
      <c r="V1407" s="24"/>
      <c r="W1407" s="24"/>
    </row>
    <row r="1408">
      <c r="A1408" s="41"/>
      <c r="B1408" s="25"/>
      <c r="C1408" s="25"/>
      <c r="D1408" s="25"/>
      <c r="E1408" s="25"/>
      <c r="F1408" s="26"/>
      <c r="G1408" s="25"/>
      <c r="H1408" s="25"/>
      <c r="I1408" s="25"/>
      <c r="J1408" s="25"/>
      <c r="K1408" s="25"/>
      <c r="L1408" s="25"/>
      <c r="M1408" s="25"/>
      <c r="N1408" s="27"/>
      <c r="O1408" s="27"/>
      <c r="P1408" s="27"/>
      <c r="Q1408" s="27"/>
      <c r="R1408" s="27"/>
      <c r="S1408" s="28"/>
      <c r="T1408" s="29"/>
      <c r="U1408" s="29"/>
      <c r="V1408" s="24"/>
      <c r="W1408" s="24"/>
    </row>
    <row r="1409">
      <c r="A1409" s="41"/>
      <c r="B1409" s="25"/>
      <c r="C1409" s="25"/>
      <c r="D1409" s="25"/>
      <c r="E1409" s="25"/>
      <c r="F1409" s="26"/>
      <c r="G1409" s="25"/>
      <c r="H1409" s="25"/>
      <c r="I1409" s="25"/>
      <c r="J1409" s="25"/>
      <c r="K1409" s="25"/>
      <c r="L1409" s="25"/>
      <c r="M1409" s="25"/>
      <c r="N1409" s="27"/>
      <c r="O1409" s="27"/>
      <c r="P1409" s="27"/>
      <c r="Q1409" s="27"/>
      <c r="R1409" s="27"/>
      <c r="S1409" s="28"/>
      <c r="T1409" s="29"/>
      <c r="U1409" s="29"/>
      <c r="V1409" s="24"/>
      <c r="W1409" s="24"/>
    </row>
    <row r="1410">
      <c r="A1410" s="41"/>
      <c r="B1410" s="25"/>
      <c r="C1410" s="25"/>
      <c r="D1410" s="25"/>
      <c r="E1410" s="25"/>
      <c r="F1410" s="26"/>
      <c r="G1410" s="25"/>
      <c r="H1410" s="25"/>
      <c r="I1410" s="25"/>
      <c r="J1410" s="25"/>
      <c r="K1410" s="25"/>
      <c r="L1410" s="25"/>
      <c r="M1410" s="25"/>
      <c r="N1410" s="27"/>
      <c r="O1410" s="27"/>
      <c r="P1410" s="27"/>
      <c r="Q1410" s="27"/>
      <c r="R1410" s="27"/>
      <c r="S1410" s="28"/>
      <c r="T1410" s="29"/>
      <c r="U1410" s="29"/>
      <c r="V1410" s="24"/>
      <c r="W1410" s="24"/>
    </row>
    <row r="1411">
      <c r="A1411" s="41"/>
      <c r="B1411" s="25"/>
      <c r="C1411" s="25"/>
      <c r="D1411" s="25"/>
      <c r="E1411" s="25"/>
      <c r="F1411" s="26"/>
      <c r="G1411" s="25"/>
      <c r="H1411" s="25"/>
      <c r="I1411" s="25"/>
      <c r="J1411" s="25"/>
      <c r="K1411" s="25"/>
      <c r="L1411" s="25"/>
      <c r="M1411" s="25"/>
      <c r="N1411" s="27"/>
      <c r="O1411" s="27"/>
      <c r="P1411" s="27"/>
      <c r="Q1411" s="27"/>
      <c r="R1411" s="27"/>
      <c r="S1411" s="28"/>
      <c r="T1411" s="29"/>
      <c r="U1411" s="29"/>
      <c r="V1411" s="24"/>
      <c r="W1411" s="24"/>
    </row>
    <row r="1412">
      <c r="A1412" s="41"/>
      <c r="B1412" s="25"/>
      <c r="C1412" s="25"/>
      <c r="D1412" s="25"/>
      <c r="E1412" s="25"/>
      <c r="F1412" s="26"/>
      <c r="G1412" s="25"/>
      <c r="H1412" s="25"/>
      <c r="I1412" s="25"/>
      <c r="J1412" s="25"/>
      <c r="K1412" s="25"/>
      <c r="L1412" s="25"/>
      <c r="M1412" s="25"/>
      <c r="N1412" s="27"/>
      <c r="O1412" s="27"/>
      <c r="P1412" s="27"/>
      <c r="Q1412" s="27"/>
      <c r="R1412" s="27"/>
      <c r="S1412" s="28"/>
      <c r="T1412" s="29"/>
      <c r="U1412" s="29"/>
      <c r="V1412" s="24"/>
      <c r="W1412" s="24"/>
    </row>
    <row r="1413">
      <c r="A1413" s="41"/>
      <c r="B1413" s="25"/>
      <c r="C1413" s="25"/>
      <c r="D1413" s="25"/>
      <c r="E1413" s="25"/>
      <c r="F1413" s="26"/>
      <c r="G1413" s="25"/>
      <c r="H1413" s="25"/>
      <c r="I1413" s="25"/>
      <c r="J1413" s="25"/>
      <c r="K1413" s="25"/>
      <c r="L1413" s="25"/>
      <c r="M1413" s="25"/>
      <c r="N1413" s="27"/>
      <c r="O1413" s="27"/>
      <c r="P1413" s="27"/>
      <c r="Q1413" s="27"/>
      <c r="R1413" s="27"/>
      <c r="S1413" s="28"/>
      <c r="T1413" s="29"/>
      <c r="U1413" s="29"/>
      <c r="V1413" s="24"/>
      <c r="W1413" s="24"/>
    </row>
    <row r="1414">
      <c r="A1414" s="41"/>
      <c r="B1414" s="25"/>
      <c r="C1414" s="25"/>
      <c r="D1414" s="25"/>
      <c r="E1414" s="25"/>
      <c r="F1414" s="26"/>
      <c r="G1414" s="25"/>
      <c r="H1414" s="25"/>
      <c r="I1414" s="25"/>
      <c r="J1414" s="25"/>
      <c r="K1414" s="25"/>
      <c r="L1414" s="25"/>
      <c r="M1414" s="25"/>
      <c r="N1414" s="27"/>
      <c r="O1414" s="27"/>
      <c r="P1414" s="27"/>
      <c r="Q1414" s="27"/>
      <c r="R1414" s="27"/>
      <c r="S1414" s="28"/>
      <c r="T1414" s="29"/>
      <c r="U1414" s="29"/>
      <c r="V1414" s="24"/>
      <c r="W1414" s="24"/>
    </row>
    <row r="1415">
      <c r="A1415" s="41"/>
      <c r="B1415" s="25"/>
      <c r="C1415" s="25"/>
      <c r="D1415" s="25"/>
      <c r="E1415" s="25"/>
      <c r="F1415" s="26"/>
      <c r="G1415" s="25"/>
      <c r="H1415" s="25"/>
      <c r="I1415" s="25"/>
      <c r="J1415" s="25"/>
      <c r="K1415" s="25"/>
      <c r="L1415" s="25"/>
      <c r="M1415" s="25"/>
      <c r="N1415" s="27"/>
      <c r="O1415" s="27"/>
      <c r="P1415" s="27"/>
      <c r="Q1415" s="27"/>
      <c r="R1415" s="27"/>
      <c r="S1415" s="28"/>
      <c r="T1415" s="29"/>
      <c r="U1415" s="29"/>
      <c r="V1415" s="24"/>
      <c r="W1415" s="24"/>
    </row>
    <row r="1416">
      <c r="A1416" s="41"/>
      <c r="B1416" s="25"/>
      <c r="C1416" s="25"/>
      <c r="D1416" s="25"/>
      <c r="E1416" s="25"/>
      <c r="F1416" s="26"/>
      <c r="G1416" s="25"/>
      <c r="H1416" s="25"/>
      <c r="I1416" s="25"/>
      <c r="J1416" s="25"/>
      <c r="K1416" s="25"/>
      <c r="L1416" s="25"/>
      <c r="M1416" s="25"/>
      <c r="N1416" s="27"/>
      <c r="O1416" s="27"/>
      <c r="P1416" s="27"/>
      <c r="Q1416" s="27"/>
      <c r="R1416" s="27"/>
      <c r="S1416" s="28"/>
      <c r="T1416" s="29"/>
      <c r="U1416" s="29"/>
      <c r="V1416" s="24"/>
      <c r="W1416" s="24"/>
    </row>
    <row r="1417">
      <c r="A1417" s="41"/>
      <c r="B1417" s="25"/>
      <c r="C1417" s="25"/>
      <c r="D1417" s="25"/>
      <c r="E1417" s="25"/>
      <c r="F1417" s="26"/>
      <c r="G1417" s="25"/>
      <c r="H1417" s="25"/>
      <c r="I1417" s="25"/>
      <c r="J1417" s="25"/>
      <c r="K1417" s="25"/>
      <c r="L1417" s="25"/>
      <c r="M1417" s="25"/>
      <c r="N1417" s="27"/>
      <c r="O1417" s="27"/>
      <c r="P1417" s="27"/>
      <c r="Q1417" s="27"/>
      <c r="R1417" s="27"/>
      <c r="S1417" s="28"/>
      <c r="T1417" s="29"/>
      <c r="U1417" s="29"/>
      <c r="V1417" s="24"/>
      <c r="W1417" s="24"/>
    </row>
    <row r="1418">
      <c r="A1418" s="41"/>
      <c r="B1418" s="25"/>
      <c r="C1418" s="25"/>
      <c r="D1418" s="25"/>
      <c r="E1418" s="25"/>
      <c r="F1418" s="26"/>
      <c r="G1418" s="25"/>
      <c r="H1418" s="25"/>
      <c r="I1418" s="25"/>
      <c r="J1418" s="25"/>
      <c r="K1418" s="25"/>
      <c r="L1418" s="25"/>
      <c r="M1418" s="25"/>
      <c r="N1418" s="27"/>
      <c r="O1418" s="27"/>
      <c r="P1418" s="27"/>
      <c r="Q1418" s="27"/>
      <c r="R1418" s="27"/>
      <c r="S1418" s="28"/>
      <c r="T1418" s="29"/>
      <c r="U1418" s="29"/>
      <c r="V1418" s="24"/>
      <c r="W1418" s="24"/>
    </row>
    <row r="1419">
      <c r="A1419" s="41"/>
      <c r="B1419" s="25"/>
      <c r="C1419" s="25"/>
      <c r="D1419" s="25"/>
      <c r="E1419" s="25"/>
      <c r="F1419" s="26"/>
      <c r="G1419" s="25"/>
      <c r="H1419" s="25"/>
      <c r="I1419" s="25"/>
      <c r="J1419" s="25"/>
      <c r="K1419" s="25"/>
      <c r="L1419" s="25"/>
      <c r="M1419" s="25"/>
      <c r="N1419" s="27"/>
      <c r="O1419" s="27"/>
      <c r="P1419" s="27"/>
      <c r="Q1419" s="27"/>
      <c r="R1419" s="27"/>
      <c r="S1419" s="28"/>
      <c r="T1419" s="29"/>
      <c r="U1419" s="29"/>
      <c r="V1419" s="24"/>
      <c r="W1419" s="24"/>
    </row>
    <row r="1420">
      <c r="A1420" s="41"/>
      <c r="B1420" s="25"/>
      <c r="C1420" s="25"/>
      <c r="D1420" s="25"/>
      <c r="E1420" s="25"/>
      <c r="F1420" s="26"/>
      <c r="G1420" s="25"/>
      <c r="H1420" s="25"/>
      <c r="I1420" s="25"/>
      <c r="J1420" s="25"/>
      <c r="K1420" s="25"/>
      <c r="L1420" s="25"/>
      <c r="M1420" s="25"/>
      <c r="N1420" s="27"/>
      <c r="O1420" s="27"/>
      <c r="P1420" s="27"/>
      <c r="Q1420" s="27"/>
      <c r="R1420" s="27"/>
      <c r="S1420" s="28"/>
      <c r="T1420" s="29"/>
      <c r="U1420" s="29"/>
      <c r="V1420" s="24"/>
      <c r="W1420" s="24"/>
    </row>
    <row r="1421">
      <c r="A1421" s="41"/>
      <c r="B1421" s="25"/>
      <c r="C1421" s="25"/>
      <c r="D1421" s="25"/>
      <c r="E1421" s="25"/>
      <c r="F1421" s="26"/>
      <c r="G1421" s="25"/>
      <c r="H1421" s="25"/>
      <c r="I1421" s="25"/>
      <c r="J1421" s="25"/>
      <c r="K1421" s="25"/>
      <c r="L1421" s="25"/>
      <c r="M1421" s="25"/>
      <c r="N1421" s="27"/>
      <c r="O1421" s="27"/>
      <c r="P1421" s="27"/>
      <c r="Q1421" s="27"/>
      <c r="R1421" s="27"/>
      <c r="S1421" s="28"/>
      <c r="T1421" s="29"/>
      <c r="U1421" s="29"/>
      <c r="V1421" s="24"/>
      <c r="W1421" s="24"/>
    </row>
    <row r="1422">
      <c r="A1422" s="41"/>
      <c r="B1422" s="25"/>
      <c r="C1422" s="25"/>
      <c r="D1422" s="25"/>
      <c r="E1422" s="25"/>
      <c r="F1422" s="26"/>
      <c r="G1422" s="25"/>
      <c r="H1422" s="25"/>
      <c r="I1422" s="25"/>
      <c r="J1422" s="25"/>
      <c r="K1422" s="25"/>
      <c r="L1422" s="25"/>
      <c r="M1422" s="25"/>
      <c r="N1422" s="27"/>
      <c r="O1422" s="27"/>
      <c r="P1422" s="27"/>
      <c r="Q1422" s="27"/>
      <c r="R1422" s="27"/>
      <c r="S1422" s="28"/>
      <c r="T1422" s="29"/>
      <c r="U1422" s="29"/>
      <c r="V1422" s="24"/>
      <c r="W1422" s="24"/>
    </row>
    <row r="1423">
      <c r="A1423" s="41"/>
      <c r="B1423" s="25"/>
      <c r="C1423" s="25"/>
      <c r="D1423" s="25"/>
      <c r="E1423" s="25"/>
      <c r="F1423" s="26"/>
      <c r="G1423" s="25"/>
      <c r="H1423" s="25"/>
      <c r="I1423" s="25"/>
      <c r="J1423" s="25"/>
      <c r="K1423" s="25"/>
      <c r="L1423" s="25"/>
      <c r="M1423" s="25"/>
      <c r="N1423" s="27"/>
      <c r="O1423" s="27"/>
      <c r="P1423" s="27"/>
      <c r="Q1423" s="27"/>
      <c r="R1423" s="27"/>
      <c r="S1423" s="28"/>
      <c r="T1423" s="29"/>
      <c r="U1423" s="29"/>
      <c r="V1423" s="24"/>
      <c r="W1423" s="24"/>
    </row>
    <row r="1424">
      <c r="A1424" s="41"/>
      <c r="B1424" s="25"/>
      <c r="C1424" s="25"/>
      <c r="D1424" s="25"/>
      <c r="E1424" s="25"/>
      <c r="F1424" s="26"/>
      <c r="G1424" s="25"/>
      <c r="H1424" s="25"/>
      <c r="I1424" s="25"/>
      <c r="J1424" s="25"/>
      <c r="K1424" s="25"/>
      <c r="L1424" s="25"/>
      <c r="M1424" s="25"/>
      <c r="N1424" s="27"/>
      <c r="O1424" s="27"/>
      <c r="P1424" s="27"/>
      <c r="Q1424" s="27"/>
      <c r="R1424" s="27"/>
      <c r="S1424" s="28"/>
      <c r="T1424" s="29"/>
      <c r="U1424" s="29"/>
      <c r="V1424" s="24"/>
      <c r="W1424" s="24"/>
    </row>
    <row r="1425">
      <c r="A1425" s="41"/>
      <c r="B1425" s="25"/>
      <c r="C1425" s="25"/>
      <c r="D1425" s="25"/>
      <c r="E1425" s="25"/>
      <c r="F1425" s="26"/>
      <c r="G1425" s="25"/>
      <c r="H1425" s="25"/>
      <c r="I1425" s="25"/>
      <c r="J1425" s="25"/>
      <c r="K1425" s="25"/>
      <c r="L1425" s="25"/>
      <c r="M1425" s="25"/>
      <c r="N1425" s="27"/>
      <c r="O1425" s="27"/>
      <c r="P1425" s="27"/>
      <c r="Q1425" s="27"/>
      <c r="R1425" s="27"/>
      <c r="S1425" s="28"/>
      <c r="T1425" s="29"/>
      <c r="U1425" s="29"/>
      <c r="V1425" s="24"/>
      <c r="W1425" s="24"/>
    </row>
    <row r="1426">
      <c r="A1426" s="41"/>
      <c r="B1426" s="25"/>
      <c r="C1426" s="25"/>
      <c r="D1426" s="25"/>
      <c r="E1426" s="25"/>
      <c r="F1426" s="26"/>
      <c r="G1426" s="25"/>
      <c r="H1426" s="25"/>
      <c r="I1426" s="25"/>
      <c r="J1426" s="25"/>
      <c r="K1426" s="25"/>
      <c r="L1426" s="25"/>
      <c r="M1426" s="25"/>
      <c r="N1426" s="27"/>
      <c r="O1426" s="27"/>
      <c r="P1426" s="27"/>
      <c r="Q1426" s="27"/>
      <c r="R1426" s="27"/>
      <c r="S1426" s="28"/>
      <c r="T1426" s="29"/>
      <c r="U1426" s="29"/>
      <c r="V1426" s="24"/>
      <c r="W1426" s="24"/>
    </row>
    <row r="1427">
      <c r="A1427" s="41"/>
      <c r="B1427" s="25"/>
      <c r="C1427" s="25"/>
      <c r="D1427" s="25"/>
      <c r="E1427" s="25"/>
      <c r="F1427" s="26"/>
      <c r="G1427" s="25"/>
      <c r="H1427" s="25"/>
      <c r="I1427" s="25"/>
      <c r="J1427" s="25"/>
      <c r="K1427" s="25"/>
      <c r="L1427" s="25"/>
      <c r="M1427" s="25"/>
      <c r="N1427" s="27"/>
      <c r="O1427" s="27"/>
      <c r="P1427" s="27"/>
      <c r="Q1427" s="27"/>
      <c r="R1427" s="27"/>
      <c r="S1427" s="28"/>
      <c r="T1427" s="29"/>
      <c r="U1427" s="29"/>
      <c r="V1427" s="24"/>
      <c r="W1427" s="24"/>
    </row>
    <row r="1428">
      <c r="A1428" s="41"/>
      <c r="B1428" s="25"/>
      <c r="C1428" s="25"/>
      <c r="D1428" s="25"/>
      <c r="E1428" s="25"/>
      <c r="F1428" s="26"/>
      <c r="G1428" s="25"/>
      <c r="H1428" s="25"/>
      <c r="I1428" s="25"/>
      <c r="J1428" s="25"/>
      <c r="K1428" s="25"/>
      <c r="L1428" s="25"/>
      <c r="M1428" s="25"/>
      <c r="N1428" s="27"/>
      <c r="O1428" s="27"/>
      <c r="P1428" s="27"/>
      <c r="Q1428" s="27"/>
      <c r="R1428" s="27"/>
      <c r="S1428" s="28"/>
      <c r="T1428" s="29"/>
      <c r="U1428" s="29"/>
      <c r="V1428" s="24"/>
      <c r="W1428" s="24"/>
    </row>
    <row r="1429">
      <c r="A1429" s="41"/>
      <c r="B1429" s="25"/>
      <c r="C1429" s="25"/>
      <c r="D1429" s="25"/>
      <c r="E1429" s="25"/>
      <c r="F1429" s="26"/>
      <c r="G1429" s="25"/>
      <c r="H1429" s="25"/>
      <c r="I1429" s="25"/>
      <c r="J1429" s="25"/>
      <c r="K1429" s="25"/>
      <c r="L1429" s="25"/>
      <c r="M1429" s="25"/>
      <c r="N1429" s="27"/>
      <c r="O1429" s="27"/>
      <c r="P1429" s="27"/>
      <c r="Q1429" s="27"/>
      <c r="R1429" s="27"/>
      <c r="S1429" s="28"/>
      <c r="T1429" s="29"/>
      <c r="U1429" s="29"/>
      <c r="V1429" s="24"/>
      <c r="W1429" s="24"/>
    </row>
    <row r="1430">
      <c r="A1430" s="41"/>
      <c r="B1430" s="25"/>
      <c r="C1430" s="25"/>
      <c r="D1430" s="25"/>
      <c r="E1430" s="25"/>
      <c r="F1430" s="26"/>
      <c r="G1430" s="25"/>
      <c r="H1430" s="25"/>
      <c r="I1430" s="25"/>
      <c r="J1430" s="25"/>
      <c r="K1430" s="25"/>
      <c r="L1430" s="25"/>
      <c r="M1430" s="25"/>
      <c r="N1430" s="27"/>
      <c r="O1430" s="27"/>
      <c r="P1430" s="27"/>
      <c r="Q1430" s="27"/>
      <c r="R1430" s="27"/>
      <c r="S1430" s="28"/>
      <c r="T1430" s="29"/>
      <c r="U1430" s="29"/>
      <c r="V1430" s="24"/>
      <c r="W1430" s="24"/>
    </row>
    <row r="1431">
      <c r="A1431" s="41"/>
      <c r="B1431" s="25"/>
      <c r="C1431" s="25"/>
      <c r="D1431" s="25"/>
      <c r="E1431" s="25"/>
      <c r="F1431" s="26"/>
      <c r="G1431" s="25"/>
      <c r="H1431" s="25"/>
      <c r="I1431" s="25"/>
      <c r="J1431" s="25"/>
      <c r="K1431" s="25"/>
      <c r="L1431" s="25"/>
      <c r="M1431" s="25"/>
      <c r="N1431" s="27"/>
      <c r="O1431" s="27"/>
      <c r="P1431" s="27"/>
      <c r="Q1431" s="27"/>
      <c r="R1431" s="27"/>
      <c r="S1431" s="28"/>
      <c r="T1431" s="29"/>
      <c r="U1431" s="29"/>
      <c r="V1431" s="24"/>
      <c r="W1431" s="24"/>
    </row>
    <row r="1432">
      <c r="A1432" s="41"/>
      <c r="B1432" s="25"/>
      <c r="C1432" s="25"/>
      <c r="D1432" s="25"/>
      <c r="E1432" s="25"/>
      <c r="F1432" s="26"/>
      <c r="G1432" s="25"/>
      <c r="H1432" s="25"/>
      <c r="I1432" s="25"/>
      <c r="J1432" s="25"/>
      <c r="K1432" s="25"/>
      <c r="L1432" s="25"/>
      <c r="M1432" s="25"/>
      <c r="N1432" s="27"/>
      <c r="O1432" s="27"/>
      <c r="P1432" s="27"/>
      <c r="Q1432" s="27"/>
      <c r="R1432" s="27"/>
      <c r="S1432" s="28"/>
      <c r="T1432" s="29"/>
      <c r="U1432" s="29"/>
      <c r="V1432" s="24"/>
      <c r="W1432" s="24"/>
    </row>
    <row r="1433">
      <c r="A1433" s="41"/>
      <c r="B1433" s="25"/>
      <c r="C1433" s="25"/>
      <c r="D1433" s="25"/>
      <c r="E1433" s="25"/>
      <c r="F1433" s="26"/>
      <c r="G1433" s="25"/>
      <c r="H1433" s="25"/>
      <c r="I1433" s="25"/>
      <c r="J1433" s="25"/>
      <c r="K1433" s="25"/>
      <c r="L1433" s="25"/>
      <c r="M1433" s="25"/>
      <c r="N1433" s="27"/>
      <c r="O1433" s="27"/>
      <c r="P1433" s="27"/>
      <c r="Q1433" s="27"/>
      <c r="R1433" s="27"/>
      <c r="S1433" s="28"/>
      <c r="T1433" s="29"/>
      <c r="U1433" s="29"/>
      <c r="V1433" s="24"/>
      <c r="W1433" s="24"/>
    </row>
    <row r="1434">
      <c r="A1434" s="41"/>
      <c r="B1434" s="25"/>
      <c r="C1434" s="25"/>
      <c r="D1434" s="25"/>
      <c r="E1434" s="25"/>
      <c r="F1434" s="26"/>
      <c r="G1434" s="25"/>
      <c r="H1434" s="25"/>
      <c r="I1434" s="25"/>
      <c r="J1434" s="25"/>
      <c r="K1434" s="25"/>
      <c r="L1434" s="25"/>
      <c r="M1434" s="25"/>
      <c r="N1434" s="27"/>
      <c r="O1434" s="27"/>
      <c r="P1434" s="27"/>
      <c r="Q1434" s="27"/>
      <c r="R1434" s="27"/>
      <c r="S1434" s="28"/>
      <c r="T1434" s="29"/>
      <c r="U1434" s="29"/>
      <c r="V1434" s="24"/>
      <c r="W1434" s="24"/>
    </row>
    <row r="1435">
      <c r="A1435" s="41"/>
      <c r="B1435" s="25"/>
      <c r="C1435" s="25"/>
      <c r="D1435" s="25"/>
      <c r="E1435" s="25"/>
      <c r="F1435" s="26"/>
      <c r="G1435" s="25"/>
      <c r="H1435" s="25"/>
      <c r="I1435" s="25"/>
      <c r="J1435" s="25"/>
      <c r="K1435" s="25"/>
      <c r="L1435" s="25"/>
      <c r="M1435" s="25"/>
      <c r="N1435" s="27"/>
      <c r="O1435" s="27"/>
      <c r="P1435" s="27"/>
      <c r="Q1435" s="27"/>
      <c r="R1435" s="27"/>
      <c r="S1435" s="28"/>
      <c r="T1435" s="29"/>
      <c r="U1435" s="29"/>
      <c r="V1435" s="24"/>
      <c r="W1435" s="24"/>
    </row>
    <row r="1436">
      <c r="A1436" s="41"/>
      <c r="B1436" s="25"/>
      <c r="C1436" s="25"/>
      <c r="D1436" s="25"/>
      <c r="E1436" s="25"/>
      <c r="F1436" s="26"/>
      <c r="G1436" s="25"/>
      <c r="H1436" s="25"/>
      <c r="I1436" s="25"/>
      <c r="J1436" s="25"/>
      <c r="K1436" s="25"/>
      <c r="L1436" s="25"/>
      <c r="M1436" s="25"/>
      <c r="N1436" s="27"/>
      <c r="O1436" s="27"/>
      <c r="P1436" s="27"/>
      <c r="Q1436" s="27"/>
      <c r="R1436" s="27"/>
      <c r="S1436" s="28"/>
      <c r="T1436" s="29"/>
      <c r="U1436" s="29"/>
      <c r="V1436" s="24"/>
      <c r="W1436" s="24"/>
    </row>
    <row r="1437">
      <c r="A1437" s="41"/>
      <c r="B1437" s="25"/>
      <c r="C1437" s="25"/>
      <c r="D1437" s="25"/>
      <c r="E1437" s="25"/>
      <c r="F1437" s="26"/>
      <c r="G1437" s="25"/>
      <c r="H1437" s="25"/>
      <c r="I1437" s="25"/>
      <c r="J1437" s="25"/>
      <c r="K1437" s="25"/>
      <c r="L1437" s="25"/>
      <c r="M1437" s="25"/>
      <c r="N1437" s="27"/>
      <c r="O1437" s="27"/>
      <c r="P1437" s="27"/>
      <c r="Q1437" s="27"/>
      <c r="R1437" s="27"/>
      <c r="S1437" s="28"/>
      <c r="T1437" s="29"/>
      <c r="U1437" s="29"/>
      <c r="V1437" s="24"/>
      <c r="W1437" s="24"/>
    </row>
    <row r="1438">
      <c r="A1438" s="41"/>
      <c r="B1438" s="25"/>
      <c r="C1438" s="25"/>
      <c r="D1438" s="25"/>
      <c r="E1438" s="25"/>
      <c r="F1438" s="26"/>
      <c r="G1438" s="25"/>
      <c r="H1438" s="25"/>
      <c r="I1438" s="25"/>
      <c r="J1438" s="25"/>
      <c r="K1438" s="25"/>
      <c r="L1438" s="25"/>
      <c r="M1438" s="25"/>
      <c r="N1438" s="27"/>
      <c r="O1438" s="27"/>
      <c r="P1438" s="27"/>
      <c r="Q1438" s="27"/>
      <c r="R1438" s="27"/>
      <c r="S1438" s="28"/>
      <c r="T1438" s="29"/>
      <c r="U1438" s="29"/>
      <c r="V1438" s="24"/>
      <c r="W1438" s="24"/>
    </row>
    <row r="1439">
      <c r="A1439" s="41"/>
      <c r="B1439" s="25"/>
      <c r="C1439" s="25"/>
      <c r="D1439" s="25"/>
      <c r="E1439" s="25"/>
      <c r="F1439" s="26"/>
      <c r="G1439" s="25"/>
      <c r="H1439" s="25"/>
      <c r="I1439" s="25"/>
      <c r="J1439" s="25"/>
      <c r="K1439" s="25"/>
      <c r="L1439" s="25"/>
      <c r="M1439" s="25"/>
      <c r="N1439" s="27"/>
      <c r="O1439" s="27"/>
      <c r="P1439" s="27"/>
      <c r="Q1439" s="27"/>
      <c r="R1439" s="27"/>
      <c r="S1439" s="28"/>
      <c r="T1439" s="29"/>
      <c r="U1439" s="29"/>
      <c r="V1439" s="24"/>
      <c r="W1439" s="24"/>
    </row>
    <row r="1440">
      <c r="A1440" s="41"/>
      <c r="B1440" s="25"/>
      <c r="C1440" s="25"/>
      <c r="D1440" s="25"/>
      <c r="E1440" s="25"/>
      <c r="F1440" s="26"/>
      <c r="G1440" s="25"/>
      <c r="H1440" s="25"/>
      <c r="I1440" s="25"/>
      <c r="J1440" s="25"/>
      <c r="K1440" s="25"/>
      <c r="L1440" s="25"/>
      <c r="M1440" s="25"/>
      <c r="N1440" s="27"/>
      <c r="O1440" s="27"/>
      <c r="P1440" s="27"/>
      <c r="Q1440" s="27"/>
      <c r="R1440" s="27"/>
      <c r="S1440" s="28"/>
      <c r="T1440" s="29"/>
      <c r="U1440" s="29"/>
      <c r="V1440" s="24"/>
      <c r="W1440" s="24"/>
    </row>
    <row r="1441">
      <c r="A1441" s="41"/>
      <c r="B1441" s="25"/>
      <c r="C1441" s="25"/>
      <c r="D1441" s="25"/>
      <c r="E1441" s="25"/>
      <c r="F1441" s="26"/>
      <c r="G1441" s="25"/>
      <c r="H1441" s="25"/>
      <c r="I1441" s="25"/>
      <c r="J1441" s="25"/>
      <c r="K1441" s="25"/>
      <c r="L1441" s="25"/>
      <c r="M1441" s="25"/>
      <c r="N1441" s="27"/>
      <c r="O1441" s="27"/>
      <c r="P1441" s="27"/>
      <c r="Q1441" s="27"/>
      <c r="R1441" s="27"/>
      <c r="S1441" s="28"/>
      <c r="T1441" s="29"/>
      <c r="U1441" s="29"/>
      <c r="V1441" s="24"/>
      <c r="W1441" s="24"/>
    </row>
    <row r="1442">
      <c r="A1442" s="41"/>
      <c r="B1442" s="25"/>
      <c r="C1442" s="25"/>
      <c r="D1442" s="25"/>
      <c r="E1442" s="25"/>
      <c r="F1442" s="26"/>
      <c r="G1442" s="25"/>
      <c r="H1442" s="25"/>
      <c r="I1442" s="25"/>
      <c r="J1442" s="25"/>
      <c r="K1442" s="25"/>
      <c r="L1442" s="25"/>
      <c r="M1442" s="25"/>
      <c r="N1442" s="27"/>
      <c r="O1442" s="27"/>
      <c r="P1442" s="27"/>
      <c r="Q1442" s="27"/>
      <c r="R1442" s="27"/>
      <c r="S1442" s="28"/>
      <c r="T1442" s="29"/>
      <c r="U1442" s="29"/>
      <c r="V1442" s="24"/>
      <c r="W1442" s="24"/>
    </row>
    <row r="1443">
      <c r="A1443" s="41"/>
      <c r="B1443" s="25"/>
      <c r="C1443" s="25"/>
      <c r="D1443" s="25"/>
      <c r="E1443" s="25"/>
      <c r="F1443" s="26"/>
      <c r="G1443" s="25"/>
      <c r="H1443" s="25"/>
      <c r="I1443" s="25"/>
      <c r="J1443" s="25"/>
      <c r="K1443" s="25"/>
      <c r="L1443" s="25"/>
      <c r="M1443" s="25"/>
      <c r="N1443" s="27"/>
      <c r="O1443" s="27"/>
      <c r="P1443" s="27"/>
      <c r="Q1443" s="27"/>
      <c r="R1443" s="27"/>
      <c r="S1443" s="28"/>
      <c r="T1443" s="29"/>
      <c r="U1443" s="29"/>
      <c r="V1443" s="24"/>
      <c r="W1443" s="24"/>
    </row>
    <row r="1444">
      <c r="A1444" s="41"/>
      <c r="B1444" s="25"/>
      <c r="C1444" s="25"/>
      <c r="D1444" s="25"/>
      <c r="E1444" s="25"/>
      <c r="F1444" s="26"/>
      <c r="G1444" s="25"/>
      <c r="H1444" s="25"/>
      <c r="I1444" s="25"/>
      <c r="J1444" s="25"/>
      <c r="K1444" s="25"/>
      <c r="L1444" s="25"/>
      <c r="M1444" s="25"/>
      <c r="N1444" s="27"/>
      <c r="O1444" s="27"/>
      <c r="P1444" s="27"/>
      <c r="Q1444" s="27"/>
      <c r="R1444" s="27"/>
      <c r="S1444" s="28"/>
      <c r="T1444" s="29"/>
      <c r="U1444" s="29"/>
      <c r="V1444" s="24"/>
      <c r="W1444" s="24"/>
    </row>
    <row r="1445">
      <c r="A1445" s="41"/>
      <c r="B1445" s="25"/>
      <c r="C1445" s="25"/>
      <c r="D1445" s="25"/>
      <c r="E1445" s="25"/>
      <c r="F1445" s="26"/>
      <c r="G1445" s="25"/>
      <c r="H1445" s="25"/>
      <c r="I1445" s="25"/>
      <c r="J1445" s="25"/>
      <c r="K1445" s="25"/>
      <c r="L1445" s="25"/>
      <c r="M1445" s="25"/>
      <c r="N1445" s="27"/>
      <c r="O1445" s="27"/>
      <c r="P1445" s="27"/>
      <c r="Q1445" s="27"/>
      <c r="R1445" s="27"/>
      <c r="S1445" s="28"/>
      <c r="T1445" s="29"/>
      <c r="U1445" s="29"/>
      <c r="V1445" s="24"/>
      <c r="W1445" s="24"/>
    </row>
    <row r="1446">
      <c r="A1446" s="41"/>
      <c r="B1446" s="25"/>
      <c r="C1446" s="25"/>
      <c r="D1446" s="25"/>
      <c r="E1446" s="25"/>
      <c r="F1446" s="26"/>
      <c r="G1446" s="25"/>
      <c r="H1446" s="25"/>
      <c r="I1446" s="25"/>
      <c r="J1446" s="25"/>
      <c r="K1446" s="25"/>
      <c r="L1446" s="25"/>
      <c r="M1446" s="25"/>
      <c r="N1446" s="27"/>
      <c r="O1446" s="27"/>
      <c r="P1446" s="27"/>
      <c r="Q1446" s="27"/>
      <c r="R1446" s="27"/>
      <c r="S1446" s="28"/>
      <c r="T1446" s="29"/>
      <c r="U1446" s="29"/>
      <c r="V1446" s="24"/>
      <c r="W1446" s="24"/>
    </row>
    <row r="1447">
      <c r="A1447" s="41"/>
      <c r="B1447" s="25"/>
      <c r="C1447" s="25"/>
      <c r="D1447" s="25"/>
      <c r="E1447" s="25"/>
      <c r="F1447" s="26"/>
      <c r="G1447" s="25"/>
      <c r="H1447" s="25"/>
      <c r="I1447" s="25"/>
      <c r="J1447" s="25"/>
      <c r="K1447" s="25"/>
      <c r="L1447" s="25"/>
      <c r="M1447" s="25"/>
      <c r="N1447" s="27"/>
      <c r="O1447" s="27"/>
      <c r="P1447" s="27"/>
      <c r="Q1447" s="27"/>
      <c r="R1447" s="27"/>
      <c r="S1447" s="28"/>
      <c r="T1447" s="29"/>
      <c r="U1447" s="29"/>
      <c r="V1447" s="24"/>
      <c r="W1447" s="24"/>
    </row>
    <row r="1448">
      <c r="A1448" s="41"/>
      <c r="B1448" s="25"/>
      <c r="C1448" s="25"/>
      <c r="D1448" s="25"/>
      <c r="E1448" s="25"/>
      <c r="F1448" s="26"/>
      <c r="G1448" s="25"/>
      <c r="H1448" s="25"/>
      <c r="I1448" s="25"/>
      <c r="J1448" s="25"/>
      <c r="K1448" s="25"/>
      <c r="L1448" s="25"/>
      <c r="M1448" s="25"/>
      <c r="N1448" s="27"/>
      <c r="O1448" s="27"/>
      <c r="P1448" s="27"/>
      <c r="Q1448" s="27"/>
      <c r="R1448" s="27"/>
      <c r="S1448" s="28"/>
      <c r="T1448" s="29"/>
      <c r="U1448" s="29"/>
      <c r="V1448" s="24"/>
      <c r="W1448" s="24"/>
    </row>
    <row r="1449">
      <c r="A1449" s="41"/>
      <c r="B1449" s="25"/>
      <c r="C1449" s="25"/>
      <c r="D1449" s="25"/>
      <c r="E1449" s="25"/>
      <c r="F1449" s="26"/>
      <c r="G1449" s="25"/>
      <c r="H1449" s="25"/>
      <c r="I1449" s="25"/>
      <c r="J1449" s="25"/>
      <c r="K1449" s="25"/>
      <c r="L1449" s="25"/>
      <c r="M1449" s="25"/>
      <c r="N1449" s="27"/>
      <c r="O1449" s="27"/>
      <c r="P1449" s="27"/>
      <c r="Q1449" s="27"/>
      <c r="R1449" s="27"/>
      <c r="S1449" s="28"/>
      <c r="T1449" s="29"/>
      <c r="U1449" s="29"/>
      <c r="V1449" s="24"/>
      <c r="W1449" s="24"/>
    </row>
    <row r="1450">
      <c r="A1450" s="41"/>
      <c r="B1450" s="25"/>
      <c r="C1450" s="25"/>
      <c r="D1450" s="25"/>
      <c r="E1450" s="25"/>
      <c r="F1450" s="26"/>
      <c r="G1450" s="25"/>
      <c r="H1450" s="25"/>
      <c r="I1450" s="25"/>
      <c r="J1450" s="25"/>
      <c r="K1450" s="25"/>
      <c r="L1450" s="25"/>
      <c r="M1450" s="25"/>
      <c r="N1450" s="27"/>
      <c r="O1450" s="27"/>
      <c r="P1450" s="27"/>
      <c r="Q1450" s="27"/>
      <c r="R1450" s="27"/>
      <c r="S1450" s="28"/>
      <c r="T1450" s="29"/>
      <c r="U1450" s="29"/>
      <c r="V1450" s="24"/>
      <c r="W1450" s="24"/>
    </row>
    <row r="1451">
      <c r="A1451" s="41"/>
      <c r="B1451" s="25"/>
      <c r="C1451" s="25"/>
      <c r="D1451" s="25"/>
      <c r="E1451" s="25"/>
      <c r="F1451" s="26"/>
      <c r="G1451" s="25"/>
      <c r="H1451" s="25"/>
      <c r="I1451" s="25"/>
      <c r="J1451" s="25"/>
      <c r="K1451" s="25"/>
      <c r="L1451" s="25"/>
      <c r="M1451" s="25"/>
      <c r="N1451" s="27"/>
      <c r="O1451" s="27"/>
      <c r="P1451" s="27"/>
      <c r="Q1451" s="27"/>
      <c r="R1451" s="27"/>
      <c r="S1451" s="28"/>
      <c r="T1451" s="29"/>
      <c r="U1451" s="29"/>
      <c r="V1451" s="24"/>
      <c r="W1451" s="24"/>
    </row>
    <row r="1452">
      <c r="A1452" s="41"/>
      <c r="B1452" s="25"/>
      <c r="C1452" s="25"/>
      <c r="D1452" s="25"/>
      <c r="E1452" s="25"/>
      <c r="F1452" s="26"/>
      <c r="G1452" s="25"/>
      <c r="H1452" s="25"/>
      <c r="I1452" s="25"/>
      <c r="J1452" s="25"/>
      <c r="K1452" s="25"/>
      <c r="L1452" s="25"/>
      <c r="M1452" s="25"/>
      <c r="N1452" s="27"/>
      <c r="O1452" s="27"/>
      <c r="P1452" s="27"/>
      <c r="Q1452" s="27"/>
      <c r="R1452" s="27"/>
      <c r="S1452" s="28"/>
      <c r="T1452" s="29"/>
      <c r="U1452" s="29"/>
      <c r="V1452" s="24"/>
      <c r="W1452" s="24"/>
    </row>
    <row r="1453">
      <c r="A1453" s="41"/>
      <c r="B1453" s="25"/>
      <c r="C1453" s="25"/>
      <c r="D1453" s="25"/>
      <c r="E1453" s="25"/>
      <c r="F1453" s="26"/>
      <c r="G1453" s="25"/>
      <c r="H1453" s="25"/>
      <c r="I1453" s="25"/>
      <c r="J1453" s="25"/>
      <c r="K1453" s="25"/>
      <c r="L1453" s="25"/>
      <c r="M1453" s="25"/>
      <c r="N1453" s="27"/>
      <c r="O1453" s="27"/>
      <c r="P1453" s="27"/>
      <c r="Q1453" s="27"/>
      <c r="R1453" s="27"/>
      <c r="S1453" s="28"/>
      <c r="T1453" s="29"/>
      <c r="U1453" s="29"/>
      <c r="V1453" s="24"/>
      <c r="W1453" s="24"/>
    </row>
    <row r="1454">
      <c r="A1454" s="41"/>
      <c r="B1454" s="25"/>
      <c r="C1454" s="25"/>
      <c r="D1454" s="25"/>
      <c r="E1454" s="25"/>
      <c r="F1454" s="26"/>
      <c r="G1454" s="25"/>
      <c r="H1454" s="25"/>
      <c r="I1454" s="25"/>
      <c r="J1454" s="25"/>
      <c r="K1454" s="25"/>
      <c r="L1454" s="25"/>
      <c r="M1454" s="25"/>
      <c r="N1454" s="27"/>
      <c r="O1454" s="27"/>
      <c r="P1454" s="27"/>
      <c r="Q1454" s="27"/>
      <c r="R1454" s="27"/>
      <c r="S1454" s="28"/>
      <c r="T1454" s="29"/>
      <c r="U1454" s="29"/>
      <c r="V1454" s="24"/>
      <c r="W1454" s="24"/>
    </row>
    <row r="1455">
      <c r="A1455" s="41"/>
      <c r="B1455" s="25"/>
      <c r="C1455" s="25"/>
      <c r="D1455" s="25"/>
      <c r="E1455" s="25"/>
      <c r="F1455" s="26"/>
      <c r="G1455" s="25"/>
      <c r="H1455" s="25"/>
      <c r="I1455" s="25"/>
      <c r="J1455" s="25"/>
      <c r="K1455" s="25"/>
      <c r="L1455" s="25"/>
      <c r="M1455" s="25"/>
      <c r="N1455" s="27"/>
      <c r="O1455" s="27"/>
      <c r="P1455" s="27"/>
      <c r="Q1455" s="27"/>
      <c r="R1455" s="27"/>
      <c r="S1455" s="28"/>
      <c r="T1455" s="29"/>
      <c r="U1455" s="29"/>
      <c r="V1455" s="24"/>
      <c r="W1455" s="24"/>
    </row>
    <row r="1456">
      <c r="A1456" s="41"/>
      <c r="B1456" s="25"/>
      <c r="C1456" s="25"/>
      <c r="D1456" s="25"/>
      <c r="E1456" s="25"/>
      <c r="F1456" s="26"/>
      <c r="G1456" s="25"/>
      <c r="H1456" s="25"/>
      <c r="I1456" s="25"/>
      <c r="J1456" s="25"/>
      <c r="K1456" s="25"/>
      <c r="L1456" s="25"/>
      <c r="M1456" s="25"/>
      <c r="N1456" s="27"/>
      <c r="O1456" s="27"/>
      <c r="P1456" s="27"/>
      <c r="Q1456" s="27"/>
      <c r="R1456" s="27"/>
      <c r="S1456" s="28"/>
      <c r="T1456" s="29"/>
      <c r="U1456" s="29"/>
      <c r="V1456" s="24"/>
      <c r="W1456" s="24"/>
    </row>
    <row r="1457">
      <c r="A1457" s="41"/>
      <c r="B1457" s="25"/>
      <c r="C1457" s="25"/>
      <c r="D1457" s="25"/>
      <c r="E1457" s="25"/>
      <c r="F1457" s="26"/>
      <c r="G1457" s="25"/>
      <c r="H1457" s="25"/>
      <c r="I1457" s="25"/>
      <c r="J1457" s="25"/>
      <c r="K1457" s="25"/>
      <c r="L1457" s="25"/>
      <c r="M1457" s="25"/>
      <c r="N1457" s="27"/>
      <c r="O1457" s="27"/>
      <c r="P1457" s="27"/>
      <c r="Q1457" s="27"/>
      <c r="R1457" s="27"/>
      <c r="S1457" s="28"/>
      <c r="T1457" s="29"/>
      <c r="U1457" s="29"/>
      <c r="V1457" s="24"/>
      <c r="W1457" s="24"/>
    </row>
    <row r="1458">
      <c r="A1458" s="41"/>
      <c r="B1458" s="25"/>
      <c r="C1458" s="25"/>
      <c r="D1458" s="25"/>
      <c r="E1458" s="25"/>
      <c r="F1458" s="26"/>
      <c r="G1458" s="25"/>
      <c r="H1458" s="25"/>
      <c r="I1458" s="25"/>
      <c r="J1458" s="25"/>
      <c r="K1458" s="25"/>
      <c r="L1458" s="25"/>
      <c r="M1458" s="25"/>
      <c r="N1458" s="27"/>
      <c r="O1458" s="27"/>
      <c r="P1458" s="27"/>
      <c r="Q1458" s="27"/>
      <c r="R1458" s="27"/>
      <c r="S1458" s="28"/>
      <c r="T1458" s="29"/>
      <c r="U1458" s="29"/>
      <c r="V1458" s="24"/>
      <c r="W1458" s="24"/>
    </row>
    <row r="1459">
      <c r="A1459" s="41"/>
      <c r="B1459" s="25"/>
      <c r="C1459" s="25"/>
      <c r="D1459" s="25"/>
      <c r="E1459" s="25"/>
      <c r="F1459" s="26"/>
      <c r="G1459" s="25"/>
      <c r="H1459" s="25"/>
      <c r="I1459" s="25"/>
      <c r="J1459" s="25"/>
      <c r="K1459" s="25"/>
      <c r="L1459" s="25"/>
      <c r="M1459" s="25"/>
      <c r="N1459" s="27"/>
      <c r="O1459" s="27"/>
      <c r="P1459" s="27"/>
      <c r="Q1459" s="27"/>
      <c r="R1459" s="27"/>
      <c r="S1459" s="28"/>
      <c r="T1459" s="29"/>
      <c r="U1459" s="29"/>
      <c r="V1459" s="24"/>
      <c r="W1459" s="24"/>
    </row>
    <row r="1460">
      <c r="A1460" s="41"/>
      <c r="B1460" s="25"/>
      <c r="C1460" s="25"/>
      <c r="D1460" s="25"/>
      <c r="E1460" s="25"/>
      <c r="F1460" s="26"/>
      <c r="G1460" s="25"/>
      <c r="H1460" s="25"/>
      <c r="I1460" s="25"/>
      <c r="J1460" s="25"/>
      <c r="K1460" s="25"/>
      <c r="L1460" s="25"/>
      <c r="M1460" s="25"/>
      <c r="N1460" s="27"/>
      <c r="O1460" s="27"/>
      <c r="P1460" s="27"/>
      <c r="Q1460" s="27"/>
      <c r="R1460" s="27"/>
      <c r="S1460" s="28"/>
      <c r="T1460" s="29"/>
      <c r="U1460" s="29"/>
      <c r="V1460" s="24"/>
      <c r="W1460" s="24"/>
    </row>
    <row r="1461">
      <c r="A1461" s="41"/>
      <c r="B1461" s="25"/>
      <c r="C1461" s="25"/>
      <c r="D1461" s="25"/>
      <c r="E1461" s="25"/>
      <c r="F1461" s="26"/>
      <c r="G1461" s="25"/>
      <c r="H1461" s="25"/>
      <c r="I1461" s="25"/>
      <c r="J1461" s="25"/>
      <c r="K1461" s="25"/>
      <c r="L1461" s="25"/>
      <c r="M1461" s="25"/>
      <c r="N1461" s="27"/>
      <c r="O1461" s="27"/>
      <c r="P1461" s="27"/>
      <c r="Q1461" s="27"/>
      <c r="R1461" s="27"/>
      <c r="S1461" s="28"/>
      <c r="T1461" s="29"/>
      <c r="U1461" s="29"/>
      <c r="V1461" s="24"/>
      <c r="W1461" s="24"/>
    </row>
    <row r="1462">
      <c r="A1462" s="41"/>
      <c r="B1462" s="25"/>
      <c r="C1462" s="25"/>
      <c r="D1462" s="25"/>
      <c r="E1462" s="25"/>
      <c r="F1462" s="26"/>
      <c r="G1462" s="25"/>
      <c r="H1462" s="25"/>
      <c r="I1462" s="25"/>
      <c r="J1462" s="25"/>
      <c r="K1462" s="25"/>
      <c r="L1462" s="25"/>
      <c r="M1462" s="25"/>
      <c r="N1462" s="27"/>
      <c r="O1462" s="27"/>
      <c r="P1462" s="27"/>
      <c r="Q1462" s="27"/>
      <c r="R1462" s="27"/>
      <c r="S1462" s="28"/>
      <c r="T1462" s="29"/>
      <c r="U1462" s="29"/>
      <c r="V1462" s="24"/>
      <c r="W1462" s="24"/>
    </row>
    <row r="1463">
      <c r="A1463" s="41"/>
      <c r="B1463" s="25"/>
      <c r="C1463" s="25"/>
      <c r="D1463" s="25"/>
      <c r="E1463" s="25"/>
      <c r="F1463" s="26"/>
      <c r="G1463" s="25"/>
      <c r="H1463" s="25"/>
      <c r="I1463" s="25"/>
      <c r="J1463" s="25"/>
      <c r="K1463" s="25"/>
      <c r="L1463" s="25"/>
      <c r="M1463" s="25"/>
      <c r="N1463" s="27"/>
      <c r="O1463" s="27"/>
      <c r="P1463" s="27"/>
      <c r="Q1463" s="27"/>
      <c r="R1463" s="27"/>
      <c r="S1463" s="28"/>
      <c r="T1463" s="29"/>
      <c r="U1463" s="29"/>
      <c r="V1463" s="24"/>
      <c r="W1463" s="24"/>
    </row>
    <row r="1464">
      <c r="A1464" s="41"/>
      <c r="B1464" s="25"/>
      <c r="C1464" s="25"/>
      <c r="D1464" s="25"/>
      <c r="E1464" s="25"/>
      <c r="F1464" s="26"/>
      <c r="G1464" s="25"/>
      <c r="H1464" s="25"/>
      <c r="I1464" s="25"/>
      <c r="J1464" s="25"/>
      <c r="K1464" s="25"/>
      <c r="L1464" s="25"/>
      <c r="M1464" s="25"/>
      <c r="N1464" s="27"/>
      <c r="O1464" s="27"/>
      <c r="P1464" s="27"/>
      <c r="Q1464" s="27"/>
      <c r="R1464" s="27"/>
      <c r="S1464" s="28"/>
      <c r="T1464" s="29"/>
      <c r="U1464" s="29"/>
      <c r="V1464" s="24"/>
      <c r="W1464" s="24"/>
    </row>
    <row r="1465">
      <c r="A1465" s="41"/>
      <c r="B1465" s="25"/>
      <c r="C1465" s="25"/>
      <c r="D1465" s="25"/>
      <c r="E1465" s="25"/>
      <c r="F1465" s="26"/>
      <c r="G1465" s="25"/>
      <c r="H1465" s="25"/>
      <c r="I1465" s="25"/>
      <c r="J1465" s="25"/>
      <c r="K1465" s="25"/>
      <c r="L1465" s="25"/>
      <c r="M1465" s="25"/>
      <c r="N1465" s="27"/>
      <c r="O1465" s="27"/>
      <c r="P1465" s="27"/>
      <c r="Q1465" s="27"/>
      <c r="R1465" s="27"/>
      <c r="S1465" s="28"/>
      <c r="T1465" s="29"/>
      <c r="U1465" s="29"/>
      <c r="V1465" s="24"/>
      <c r="W1465" s="24"/>
    </row>
    <row r="1466">
      <c r="A1466" s="41"/>
      <c r="B1466" s="25"/>
      <c r="C1466" s="25"/>
      <c r="D1466" s="25"/>
      <c r="E1466" s="25"/>
      <c r="F1466" s="26"/>
      <c r="G1466" s="25"/>
      <c r="H1466" s="25"/>
      <c r="I1466" s="25"/>
      <c r="J1466" s="25"/>
      <c r="K1466" s="25"/>
      <c r="L1466" s="25"/>
      <c r="M1466" s="25"/>
      <c r="N1466" s="27"/>
      <c r="O1466" s="27"/>
      <c r="P1466" s="27"/>
      <c r="Q1466" s="27"/>
      <c r="R1466" s="27"/>
      <c r="S1466" s="28"/>
      <c r="T1466" s="29"/>
      <c r="U1466" s="29"/>
      <c r="V1466" s="24"/>
      <c r="W1466" s="24"/>
    </row>
    <row r="1467">
      <c r="A1467" s="41"/>
      <c r="B1467" s="25"/>
      <c r="C1467" s="25"/>
      <c r="D1467" s="25"/>
      <c r="E1467" s="25"/>
      <c r="F1467" s="26"/>
      <c r="G1467" s="25"/>
      <c r="H1467" s="25"/>
      <c r="I1467" s="25"/>
      <c r="J1467" s="25"/>
      <c r="K1467" s="25"/>
      <c r="L1467" s="25"/>
      <c r="M1467" s="25"/>
      <c r="N1467" s="27"/>
      <c r="O1467" s="27"/>
      <c r="P1467" s="27"/>
      <c r="Q1467" s="27"/>
      <c r="R1467" s="27"/>
      <c r="S1467" s="28"/>
      <c r="T1467" s="29"/>
      <c r="U1467" s="29"/>
      <c r="V1467" s="24"/>
      <c r="W1467" s="24"/>
    </row>
    <row r="1468">
      <c r="A1468" s="41"/>
      <c r="B1468" s="25"/>
      <c r="C1468" s="25"/>
      <c r="D1468" s="25"/>
      <c r="E1468" s="25"/>
      <c r="F1468" s="26"/>
      <c r="G1468" s="25"/>
      <c r="H1468" s="25"/>
      <c r="I1468" s="25"/>
      <c r="J1468" s="25"/>
      <c r="K1468" s="25"/>
      <c r="L1468" s="25"/>
      <c r="M1468" s="25"/>
      <c r="N1468" s="27"/>
      <c r="O1468" s="27"/>
      <c r="P1468" s="27"/>
      <c r="Q1468" s="27"/>
      <c r="R1468" s="27"/>
      <c r="S1468" s="28"/>
      <c r="T1468" s="29"/>
      <c r="U1468" s="29"/>
      <c r="V1468" s="24"/>
      <c r="W1468" s="24"/>
    </row>
    <row r="1469">
      <c r="A1469" s="41"/>
      <c r="B1469" s="25"/>
      <c r="C1469" s="25"/>
      <c r="D1469" s="25"/>
      <c r="E1469" s="25"/>
      <c r="F1469" s="26"/>
      <c r="G1469" s="25"/>
      <c r="H1469" s="25"/>
      <c r="I1469" s="25"/>
      <c r="J1469" s="25"/>
      <c r="K1469" s="25"/>
      <c r="L1469" s="25"/>
      <c r="M1469" s="25"/>
      <c r="N1469" s="27"/>
      <c r="O1469" s="27"/>
      <c r="P1469" s="27"/>
      <c r="Q1469" s="27"/>
      <c r="R1469" s="27"/>
      <c r="S1469" s="28"/>
      <c r="T1469" s="29"/>
      <c r="U1469" s="29"/>
      <c r="V1469" s="24"/>
      <c r="W1469" s="24"/>
    </row>
    <row r="1470">
      <c r="A1470" s="41"/>
      <c r="B1470" s="25"/>
      <c r="C1470" s="25"/>
      <c r="D1470" s="25"/>
      <c r="E1470" s="25"/>
      <c r="F1470" s="26"/>
      <c r="G1470" s="25"/>
      <c r="H1470" s="25"/>
      <c r="I1470" s="25"/>
      <c r="J1470" s="25"/>
      <c r="K1470" s="25"/>
      <c r="L1470" s="25"/>
      <c r="M1470" s="25"/>
      <c r="N1470" s="27"/>
      <c r="O1470" s="27"/>
      <c r="P1470" s="27"/>
      <c r="Q1470" s="27"/>
      <c r="R1470" s="27"/>
      <c r="S1470" s="28"/>
      <c r="T1470" s="29"/>
      <c r="U1470" s="29"/>
      <c r="V1470" s="24"/>
      <c r="W1470" s="24"/>
    </row>
    <row r="1471">
      <c r="A1471" s="41"/>
      <c r="B1471" s="25"/>
      <c r="C1471" s="25"/>
      <c r="D1471" s="25"/>
      <c r="E1471" s="25"/>
      <c r="F1471" s="26"/>
      <c r="G1471" s="25"/>
      <c r="H1471" s="25"/>
      <c r="I1471" s="25"/>
      <c r="J1471" s="25"/>
      <c r="K1471" s="25"/>
      <c r="L1471" s="25"/>
      <c r="M1471" s="25"/>
      <c r="N1471" s="27"/>
      <c r="O1471" s="27"/>
      <c r="P1471" s="27"/>
      <c r="Q1471" s="27"/>
      <c r="R1471" s="27"/>
      <c r="S1471" s="28"/>
      <c r="T1471" s="29"/>
      <c r="U1471" s="29"/>
      <c r="V1471" s="24"/>
      <c r="W1471" s="24"/>
    </row>
    <row r="1472">
      <c r="A1472" s="41"/>
      <c r="B1472" s="25"/>
      <c r="C1472" s="25"/>
      <c r="D1472" s="25"/>
      <c r="E1472" s="25"/>
      <c r="F1472" s="26"/>
      <c r="G1472" s="25"/>
      <c r="H1472" s="25"/>
      <c r="I1472" s="25"/>
      <c r="J1472" s="25"/>
      <c r="K1472" s="25"/>
      <c r="L1472" s="25"/>
      <c r="M1472" s="25"/>
      <c r="N1472" s="27"/>
      <c r="O1472" s="27"/>
      <c r="P1472" s="27"/>
      <c r="Q1472" s="27"/>
      <c r="R1472" s="27"/>
      <c r="S1472" s="28"/>
      <c r="T1472" s="29"/>
      <c r="U1472" s="29"/>
      <c r="V1472" s="24"/>
      <c r="W1472" s="24"/>
    </row>
    <row r="1473">
      <c r="A1473" s="41"/>
      <c r="B1473" s="25"/>
      <c r="C1473" s="25"/>
      <c r="D1473" s="25"/>
      <c r="E1473" s="25"/>
      <c r="F1473" s="26"/>
      <c r="G1473" s="25"/>
      <c r="H1473" s="25"/>
      <c r="I1473" s="25"/>
      <c r="J1473" s="25"/>
      <c r="K1473" s="25"/>
      <c r="L1473" s="25"/>
      <c r="M1473" s="25"/>
      <c r="N1473" s="27"/>
      <c r="O1473" s="27"/>
      <c r="P1473" s="27"/>
      <c r="Q1473" s="27"/>
      <c r="R1473" s="27"/>
      <c r="S1473" s="28"/>
      <c r="T1473" s="29"/>
      <c r="U1473" s="29"/>
      <c r="V1473" s="24"/>
      <c r="W1473" s="24"/>
    </row>
    <row r="1474">
      <c r="A1474" s="41"/>
      <c r="B1474" s="25"/>
      <c r="C1474" s="25"/>
      <c r="D1474" s="25"/>
      <c r="E1474" s="25"/>
      <c r="F1474" s="26"/>
      <c r="G1474" s="25"/>
      <c r="H1474" s="25"/>
      <c r="I1474" s="25"/>
      <c r="J1474" s="25"/>
      <c r="K1474" s="25"/>
      <c r="L1474" s="25"/>
      <c r="M1474" s="25"/>
      <c r="N1474" s="27"/>
      <c r="O1474" s="27"/>
      <c r="P1474" s="27"/>
      <c r="Q1474" s="27"/>
      <c r="R1474" s="27"/>
      <c r="S1474" s="28"/>
      <c r="T1474" s="29"/>
      <c r="U1474" s="29"/>
      <c r="V1474" s="24"/>
      <c r="W1474" s="24"/>
    </row>
    <row r="1475">
      <c r="A1475" s="41"/>
      <c r="B1475" s="25"/>
      <c r="C1475" s="25"/>
      <c r="D1475" s="25"/>
      <c r="E1475" s="25"/>
      <c r="F1475" s="26"/>
      <c r="G1475" s="25"/>
      <c r="H1475" s="25"/>
      <c r="I1475" s="25"/>
      <c r="J1475" s="25"/>
      <c r="K1475" s="25"/>
      <c r="L1475" s="25"/>
      <c r="M1475" s="25"/>
      <c r="N1475" s="27"/>
      <c r="O1475" s="27"/>
      <c r="P1475" s="27"/>
      <c r="Q1475" s="27"/>
      <c r="R1475" s="27"/>
      <c r="S1475" s="28"/>
      <c r="T1475" s="29"/>
      <c r="U1475" s="29"/>
      <c r="V1475" s="24"/>
      <c r="W1475" s="24"/>
    </row>
    <row r="1476">
      <c r="A1476" s="41"/>
      <c r="B1476" s="25"/>
      <c r="C1476" s="25"/>
      <c r="D1476" s="25"/>
      <c r="E1476" s="25"/>
      <c r="F1476" s="26"/>
      <c r="G1476" s="25"/>
      <c r="H1476" s="25"/>
      <c r="I1476" s="25"/>
      <c r="J1476" s="25"/>
      <c r="K1476" s="25"/>
      <c r="L1476" s="25"/>
      <c r="M1476" s="25"/>
      <c r="N1476" s="27"/>
      <c r="O1476" s="27"/>
      <c r="P1476" s="27"/>
      <c r="Q1476" s="27"/>
      <c r="R1476" s="27"/>
      <c r="S1476" s="28"/>
      <c r="T1476" s="29"/>
      <c r="U1476" s="29"/>
      <c r="V1476" s="24"/>
      <c r="W1476" s="24"/>
    </row>
    <row r="1477">
      <c r="A1477" s="41"/>
      <c r="B1477" s="25"/>
      <c r="C1477" s="25"/>
      <c r="D1477" s="25"/>
      <c r="E1477" s="25"/>
      <c r="F1477" s="26"/>
      <c r="G1477" s="25"/>
      <c r="H1477" s="25"/>
      <c r="I1477" s="25"/>
      <c r="J1477" s="25"/>
      <c r="K1477" s="25"/>
      <c r="L1477" s="25"/>
      <c r="M1477" s="25"/>
      <c r="N1477" s="27"/>
      <c r="O1477" s="27"/>
      <c r="P1477" s="27"/>
      <c r="Q1477" s="27"/>
      <c r="R1477" s="27"/>
      <c r="S1477" s="28"/>
      <c r="T1477" s="29"/>
      <c r="U1477" s="29"/>
      <c r="V1477" s="24"/>
      <c r="W1477" s="24"/>
    </row>
    <row r="1478">
      <c r="A1478" s="41"/>
      <c r="B1478" s="25"/>
      <c r="C1478" s="25"/>
      <c r="D1478" s="25"/>
      <c r="E1478" s="25"/>
      <c r="F1478" s="26"/>
      <c r="G1478" s="25"/>
      <c r="H1478" s="25"/>
      <c r="I1478" s="25"/>
      <c r="J1478" s="25"/>
      <c r="K1478" s="25"/>
      <c r="L1478" s="25"/>
      <c r="M1478" s="25"/>
      <c r="N1478" s="27"/>
      <c r="O1478" s="27"/>
      <c r="P1478" s="27"/>
      <c r="Q1478" s="27"/>
      <c r="R1478" s="27"/>
      <c r="S1478" s="28"/>
      <c r="T1478" s="29"/>
      <c r="U1478" s="29"/>
      <c r="V1478" s="24"/>
      <c r="W1478" s="24"/>
    </row>
    <row r="1479">
      <c r="A1479" s="41"/>
      <c r="B1479" s="25"/>
      <c r="C1479" s="25"/>
      <c r="D1479" s="25"/>
      <c r="E1479" s="25"/>
      <c r="F1479" s="26"/>
      <c r="G1479" s="25"/>
      <c r="H1479" s="25"/>
      <c r="I1479" s="25"/>
      <c r="J1479" s="25"/>
      <c r="K1479" s="25"/>
      <c r="L1479" s="25"/>
      <c r="M1479" s="25"/>
      <c r="N1479" s="27"/>
      <c r="O1479" s="27"/>
      <c r="P1479" s="27"/>
      <c r="Q1479" s="27"/>
      <c r="R1479" s="27"/>
      <c r="S1479" s="28"/>
      <c r="T1479" s="29"/>
      <c r="U1479" s="29"/>
      <c r="V1479" s="24"/>
      <c r="W1479" s="24"/>
    </row>
    <row r="1480">
      <c r="A1480" s="41"/>
      <c r="B1480" s="25"/>
      <c r="C1480" s="25"/>
      <c r="D1480" s="25"/>
      <c r="E1480" s="25"/>
      <c r="F1480" s="26"/>
      <c r="G1480" s="25"/>
      <c r="H1480" s="25"/>
      <c r="I1480" s="25"/>
      <c r="J1480" s="25"/>
      <c r="K1480" s="25"/>
      <c r="L1480" s="25"/>
      <c r="M1480" s="25"/>
      <c r="N1480" s="27"/>
      <c r="O1480" s="27"/>
      <c r="P1480" s="27"/>
      <c r="Q1480" s="27"/>
      <c r="R1480" s="27"/>
      <c r="S1480" s="28"/>
      <c r="T1480" s="29"/>
      <c r="U1480" s="29"/>
      <c r="V1480" s="24"/>
      <c r="W1480" s="24"/>
    </row>
    <row r="1481">
      <c r="A1481" s="41"/>
      <c r="B1481" s="25"/>
      <c r="C1481" s="25"/>
      <c r="D1481" s="25"/>
      <c r="E1481" s="25"/>
      <c r="F1481" s="26"/>
      <c r="G1481" s="25"/>
      <c r="H1481" s="25"/>
      <c r="I1481" s="25"/>
      <c r="J1481" s="25"/>
      <c r="K1481" s="25"/>
      <c r="L1481" s="25"/>
      <c r="M1481" s="25"/>
      <c r="N1481" s="27"/>
      <c r="O1481" s="27"/>
      <c r="P1481" s="27"/>
      <c r="Q1481" s="27"/>
      <c r="R1481" s="27"/>
      <c r="S1481" s="28"/>
      <c r="T1481" s="29"/>
      <c r="U1481" s="29"/>
      <c r="V1481" s="24"/>
      <c r="W1481" s="24"/>
    </row>
    <row r="1482">
      <c r="A1482" s="41"/>
      <c r="B1482" s="25"/>
      <c r="C1482" s="25"/>
      <c r="D1482" s="25"/>
      <c r="E1482" s="25"/>
      <c r="F1482" s="26"/>
      <c r="G1482" s="25"/>
      <c r="H1482" s="25"/>
      <c r="I1482" s="25"/>
      <c r="J1482" s="25"/>
      <c r="K1482" s="25"/>
      <c r="L1482" s="25"/>
      <c r="M1482" s="25"/>
      <c r="N1482" s="27"/>
      <c r="O1482" s="27"/>
      <c r="P1482" s="27"/>
      <c r="Q1482" s="27"/>
      <c r="R1482" s="27"/>
      <c r="S1482" s="28"/>
      <c r="T1482" s="29"/>
      <c r="U1482" s="29"/>
      <c r="V1482" s="24"/>
      <c r="W1482" s="24"/>
    </row>
    <row r="1483">
      <c r="A1483" s="41"/>
      <c r="B1483" s="25"/>
      <c r="C1483" s="25"/>
      <c r="D1483" s="25"/>
      <c r="E1483" s="25"/>
      <c r="F1483" s="26"/>
      <c r="G1483" s="25"/>
      <c r="H1483" s="25"/>
      <c r="I1483" s="25"/>
      <c r="J1483" s="25"/>
      <c r="K1483" s="25"/>
      <c r="L1483" s="25"/>
      <c r="M1483" s="25"/>
      <c r="N1483" s="27"/>
      <c r="O1483" s="27"/>
      <c r="P1483" s="27"/>
      <c r="Q1483" s="27"/>
      <c r="R1483" s="27"/>
      <c r="S1483" s="28"/>
      <c r="T1483" s="29"/>
      <c r="U1483" s="29"/>
      <c r="V1483" s="24"/>
      <c r="W1483" s="24"/>
    </row>
    <row r="1484">
      <c r="A1484" s="41"/>
      <c r="B1484" s="25"/>
      <c r="C1484" s="25"/>
      <c r="D1484" s="25"/>
      <c r="E1484" s="25"/>
      <c r="F1484" s="26"/>
      <c r="G1484" s="25"/>
      <c r="H1484" s="25"/>
      <c r="I1484" s="25"/>
      <c r="J1484" s="25"/>
      <c r="K1484" s="25"/>
      <c r="L1484" s="25"/>
      <c r="M1484" s="25"/>
      <c r="N1484" s="27"/>
      <c r="O1484" s="27"/>
      <c r="P1484" s="27"/>
      <c r="Q1484" s="27"/>
      <c r="R1484" s="27"/>
      <c r="S1484" s="28"/>
      <c r="T1484" s="29"/>
      <c r="U1484" s="29"/>
      <c r="V1484" s="24"/>
      <c r="W1484" s="24"/>
    </row>
    <row r="1485">
      <c r="A1485" s="41"/>
      <c r="B1485" s="25"/>
      <c r="C1485" s="25"/>
      <c r="D1485" s="25"/>
      <c r="E1485" s="25"/>
      <c r="F1485" s="26"/>
      <c r="G1485" s="25"/>
      <c r="H1485" s="25"/>
      <c r="I1485" s="25"/>
      <c r="J1485" s="25"/>
      <c r="K1485" s="25"/>
      <c r="L1485" s="25"/>
      <c r="M1485" s="25"/>
      <c r="N1485" s="27"/>
      <c r="O1485" s="27"/>
      <c r="P1485" s="27"/>
      <c r="Q1485" s="27"/>
      <c r="R1485" s="27"/>
      <c r="S1485" s="28"/>
      <c r="T1485" s="29"/>
      <c r="U1485" s="29"/>
      <c r="V1485" s="24"/>
      <c r="W1485" s="24"/>
    </row>
    <row r="1486">
      <c r="A1486" s="41"/>
      <c r="B1486" s="25"/>
      <c r="C1486" s="25"/>
      <c r="D1486" s="25"/>
      <c r="E1486" s="25"/>
      <c r="F1486" s="26"/>
      <c r="G1486" s="25"/>
      <c r="H1486" s="25"/>
      <c r="I1486" s="25"/>
      <c r="J1486" s="25"/>
      <c r="K1486" s="25"/>
      <c r="L1486" s="25"/>
      <c r="M1486" s="25"/>
      <c r="N1486" s="27"/>
      <c r="O1486" s="27"/>
      <c r="P1486" s="27"/>
      <c r="Q1486" s="27"/>
      <c r="R1486" s="27"/>
      <c r="S1486" s="28"/>
      <c r="T1486" s="29"/>
      <c r="U1486" s="29"/>
      <c r="V1486" s="24"/>
      <c r="W1486" s="24"/>
    </row>
    <row r="1487">
      <c r="A1487" s="41"/>
      <c r="B1487" s="25"/>
      <c r="C1487" s="25"/>
      <c r="D1487" s="25"/>
      <c r="E1487" s="25"/>
      <c r="F1487" s="26"/>
      <c r="G1487" s="25"/>
      <c r="H1487" s="25"/>
      <c r="I1487" s="25"/>
      <c r="J1487" s="25"/>
      <c r="K1487" s="25"/>
      <c r="L1487" s="25"/>
      <c r="M1487" s="25"/>
      <c r="N1487" s="27"/>
      <c r="O1487" s="27"/>
      <c r="P1487" s="27"/>
      <c r="Q1487" s="27"/>
      <c r="R1487" s="27"/>
      <c r="S1487" s="28"/>
      <c r="T1487" s="29"/>
      <c r="U1487" s="29"/>
      <c r="V1487" s="24"/>
      <c r="W1487" s="24"/>
    </row>
    <row r="1488">
      <c r="A1488" s="41"/>
      <c r="B1488" s="25"/>
      <c r="C1488" s="25"/>
      <c r="D1488" s="25"/>
      <c r="E1488" s="25"/>
      <c r="F1488" s="26"/>
      <c r="G1488" s="25"/>
      <c r="H1488" s="25"/>
      <c r="I1488" s="25"/>
      <c r="J1488" s="25"/>
      <c r="K1488" s="25"/>
      <c r="L1488" s="25"/>
      <c r="M1488" s="25"/>
      <c r="N1488" s="27"/>
      <c r="O1488" s="27"/>
      <c r="P1488" s="27"/>
      <c r="Q1488" s="27"/>
      <c r="R1488" s="27"/>
      <c r="S1488" s="28"/>
      <c r="T1488" s="29"/>
      <c r="U1488" s="29"/>
      <c r="V1488" s="24"/>
      <c r="W1488" s="24"/>
    </row>
    <row r="1489">
      <c r="A1489" s="41"/>
      <c r="B1489" s="25"/>
      <c r="C1489" s="25"/>
      <c r="D1489" s="25"/>
      <c r="E1489" s="25"/>
      <c r="F1489" s="26"/>
      <c r="G1489" s="25"/>
      <c r="H1489" s="25"/>
      <c r="I1489" s="25"/>
      <c r="J1489" s="25"/>
      <c r="K1489" s="25"/>
      <c r="L1489" s="25"/>
      <c r="M1489" s="25"/>
      <c r="N1489" s="27"/>
      <c r="O1489" s="27"/>
      <c r="P1489" s="27"/>
      <c r="Q1489" s="27"/>
      <c r="R1489" s="27"/>
      <c r="S1489" s="28"/>
      <c r="T1489" s="29"/>
      <c r="U1489" s="29"/>
      <c r="V1489" s="24"/>
      <c r="W1489" s="24"/>
    </row>
    <row r="1490">
      <c r="A1490" s="41"/>
      <c r="B1490" s="25"/>
      <c r="C1490" s="25"/>
      <c r="D1490" s="25"/>
      <c r="E1490" s="25"/>
      <c r="F1490" s="26"/>
      <c r="G1490" s="25"/>
      <c r="H1490" s="25"/>
      <c r="I1490" s="25"/>
      <c r="J1490" s="25"/>
      <c r="K1490" s="25"/>
      <c r="L1490" s="25"/>
      <c r="M1490" s="25"/>
      <c r="N1490" s="27"/>
      <c r="O1490" s="27"/>
      <c r="P1490" s="27"/>
      <c r="Q1490" s="27"/>
      <c r="R1490" s="27"/>
      <c r="S1490" s="28"/>
      <c r="T1490" s="29"/>
      <c r="U1490" s="29"/>
      <c r="V1490" s="24"/>
      <c r="W1490" s="24"/>
    </row>
    <row r="1491">
      <c r="A1491" s="41"/>
      <c r="B1491" s="25"/>
      <c r="C1491" s="25"/>
      <c r="D1491" s="25"/>
      <c r="E1491" s="25"/>
      <c r="F1491" s="26"/>
      <c r="G1491" s="25"/>
      <c r="H1491" s="25"/>
      <c r="I1491" s="25"/>
      <c r="J1491" s="25"/>
      <c r="K1491" s="25"/>
      <c r="L1491" s="25"/>
      <c r="M1491" s="25"/>
      <c r="N1491" s="27"/>
      <c r="O1491" s="27"/>
      <c r="P1491" s="27"/>
      <c r="Q1491" s="27"/>
      <c r="R1491" s="27"/>
      <c r="S1491" s="28"/>
      <c r="T1491" s="29"/>
      <c r="U1491" s="29"/>
      <c r="V1491" s="24"/>
      <c r="W1491" s="24"/>
    </row>
    <row r="1492">
      <c r="A1492" s="41"/>
      <c r="B1492" s="25"/>
      <c r="C1492" s="25"/>
      <c r="D1492" s="25"/>
      <c r="E1492" s="25"/>
      <c r="F1492" s="26"/>
      <c r="G1492" s="25"/>
      <c r="H1492" s="25"/>
      <c r="I1492" s="25"/>
      <c r="J1492" s="25"/>
      <c r="K1492" s="25"/>
      <c r="L1492" s="25"/>
      <c r="M1492" s="25"/>
      <c r="N1492" s="27"/>
      <c r="O1492" s="27"/>
      <c r="P1492" s="27"/>
      <c r="Q1492" s="27"/>
      <c r="R1492" s="27"/>
      <c r="S1492" s="28"/>
      <c r="T1492" s="29"/>
      <c r="U1492" s="29"/>
      <c r="V1492" s="24"/>
      <c r="W1492" s="24"/>
    </row>
    <row r="1493">
      <c r="A1493" s="41"/>
      <c r="B1493" s="25"/>
      <c r="C1493" s="25"/>
      <c r="D1493" s="25"/>
      <c r="E1493" s="25"/>
      <c r="F1493" s="26"/>
      <c r="G1493" s="25"/>
      <c r="H1493" s="25"/>
      <c r="I1493" s="25"/>
      <c r="J1493" s="25"/>
      <c r="K1493" s="25"/>
      <c r="L1493" s="25"/>
      <c r="M1493" s="25"/>
      <c r="N1493" s="27"/>
      <c r="O1493" s="27"/>
      <c r="P1493" s="27"/>
      <c r="Q1493" s="27"/>
      <c r="R1493" s="27"/>
      <c r="S1493" s="28"/>
      <c r="T1493" s="29"/>
      <c r="U1493" s="29"/>
      <c r="V1493" s="24"/>
      <c r="W1493" s="24"/>
    </row>
    <row r="1494">
      <c r="A1494" s="41"/>
      <c r="B1494" s="25"/>
      <c r="C1494" s="25"/>
      <c r="D1494" s="25"/>
      <c r="E1494" s="25"/>
      <c r="F1494" s="26"/>
      <c r="G1494" s="25"/>
      <c r="H1494" s="25"/>
      <c r="I1494" s="25"/>
      <c r="J1494" s="25"/>
      <c r="K1494" s="25"/>
      <c r="L1494" s="25"/>
      <c r="M1494" s="25"/>
      <c r="N1494" s="27"/>
      <c r="O1494" s="27"/>
      <c r="P1494" s="27"/>
      <c r="Q1494" s="27"/>
      <c r="R1494" s="27"/>
      <c r="S1494" s="28"/>
      <c r="T1494" s="29"/>
      <c r="U1494" s="29"/>
      <c r="V1494" s="24"/>
      <c r="W1494" s="24"/>
    </row>
    <row r="1495">
      <c r="A1495" s="41"/>
      <c r="B1495" s="25"/>
      <c r="C1495" s="25"/>
      <c r="D1495" s="25"/>
      <c r="E1495" s="25"/>
      <c r="F1495" s="26"/>
      <c r="G1495" s="25"/>
      <c r="H1495" s="25"/>
      <c r="I1495" s="25"/>
      <c r="J1495" s="25"/>
      <c r="K1495" s="25"/>
      <c r="L1495" s="25"/>
      <c r="M1495" s="25"/>
      <c r="N1495" s="27"/>
      <c r="O1495" s="27"/>
      <c r="P1495" s="27"/>
      <c r="Q1495" s="27"/>
      <c r="R1495" s="27"/>
      <c r="S1495" s="28"/>
      <c r="T1495" s="29"/>
      <c r="U1495" s="29"/>
      <c r="V1495" s="24"/>
      <c r="W1495" s="24"/>
    </row>
    <row r="1496">
      <c r="A1496" s="41"/>
      <c r="B1496" s="25"/>
      <c r="C1496" s="25"/>
      <c r="D1496" s="25"/>
      <c r="E1496" s="25"/>
      <c r="F1496" s="26"/>
      <c r="G1496" s="25"/>
      <c r="H1496" s="25"/>
      <c r="I1496" s="25"/>
      <c r="J1496" s="25"/>
      <c r="K1496" s="25"/>
      <c r="L1496" s="25"/>
      <c r="M1496" s="25"/>
      <c r="N1496" s="27"/>
      <c r="O1496" s="27"/>
      <c r="P1496" s="27"/>
      <c r="Q1496" s="27"/>
      <c r="R1496" s="27"/>
      <c r="S1496" s="28"/>
      <c r="T1496" s="29"/>
      <c r="U1496" s="29"/>
      <c r="V1496" s="24"/>
      <c r="W1496" s="24"/>
    </row>
    <row r="1497">
      <c r="A1497" s="41"/>
      <c r="B1497" s="25"/>
      <c r="C1497" s="25"/>
      <c r="D1497" s="25"/>
      <c r="E1497" s="25"/>
      <c r="F1497" s="26"/>
      <c r="G1497" s="25"/>
      <c r="H1497" s="25"/>
      <c r="I1497" s="25"/>
      <c r="J1497" s="25"/>
      <c r="K1497" s="25"/>
      <c r="L1497" s="25"/>
      <c r="M1497" s="25"/>
      <c r="N1497" s="27"/>
      <c r="O1497" s="27"/>
      <c r="P1497" s="27"/>
      <c r="Q1497" s="27"/>
      <c r="R1497" s="27"/>
      <c r="S1497" s="28"/>
      <c r="T1497" s="29"/>
      <c r="U1497" s="29"/>
      <c r="V1497" s="24"/>
      <c r="W1497" s="24"/>
    </row>
    <row r="1498">
      <c r="A1498" s="41"/>
      <c r="B1498" s="25"/>
      <c r="C1498" s="25"/>
      <c r="D1498" s="25"/>
      <c r="E1498" s="25"/>
      <c r="F1498" s="26"/>
      <c r="G1498" s="25"/>
      <c r="H1498" s="25"/>
      <c r="I1498" s="25"/>
      <c r="J1498" s="25"/>
      <c r="K1498" s="25"/>
      <c r="L1498" s="25"/>
      <c r="M1498" s="25"/>
      <c r="N1498" s="27"/>
      <c r="O1498" s="27"/>
      <c r="P1498" s="27"/>
      <c r="Q1498" s="27"/>
      <c r="R1498" s="27"/>
      <c r="S1498" s="28"/>
      <c r="T1498" s="29"/>
      <c r="U1498" s="29"/>
      <c r="V1498" s="24"/>
      <c r="W1498" s="24"/>
    </row>
    <row r="1499">
      <c r="A1499" s="41"/>
      <c r="B1499" s="25"/>
      <c r="C1499" s="25"/>
      <c r="D1499" s="25"/>
      <c r="E1499" s="25"/>
      <c r="F1499" s="26"/>
      <c r="G1499" s="25"/>
      <c r="H1499" s="25"/>
      <c r="I1499" s="25"/>
      <c r="J1499" s="25"/>
      <c r="K1499" s="25"/>
      <c r="L1499" s="25"/>
      <c r="M1499" s="25"/>
      <c r="N1499" s="27"/>
      <c r="O1499" s="27"/>
      <c r="P1499" s="27"/>
      <c r="Q1499" s="27"/>
      <c r="R1499" s="27"/>
      <c r="S1499" s="28"/>
      <c r="T1499" s="29"/>
      <c r="U1499" s="29"/>
      <c r="V1499" s="24"/>
      <c r="W1499" s="24"/>
    </row>
    <row r="1500">
      <c r="A1500" s="41"/>
      <c r="B1500" s="25"/>
      <c r="C1500" s="25"/>
      <c r="D1500" s="25"/>
      <c r="E1500" s="25"/>
      <c r="F1500" s="26"/>
      <c r="G1500" s="25"/>
      <c r="H1500" s="25"/>
      <c r="I1500" s="25"/>
      <c r="J1500" s="25"/>
      <c r="K1500" s="25"/>
      <c r="L1500" s="25"/>
      <c r="M1500" s="25"/>
      <c r="N1500" s="27"/>
      <c r="O1500" s="27"/>
      <c r="P1500" s="27"/>
      <c r="Q1500" s="27"/>
      <c r="R1500" s="27"/>
      <c r="S1500" s="28"/>
      <c r="T1500" s="29"/>
      <c r="U1500" s="29"/>
      <c r="V1500" s="24"/>
      <c r="W1500" s="24"/>
    </row>
    <row r="1501">
      <c r="A1501" s="41"/>
      <c r="B1501" s="25"/>
      <c r="C1501" s="25"/>
      <c r="D1501" s="25"/>
      <c r="E1501" s="25"/>
      <c r="F1501" s="26"/>
      <c r="G1501" s="25"/>
      <c r="H1501" s="25"/>
      <c r="I1501" s="25"/>
      <c r="J1501" s="25"/>
      <c r="K1501" s="25"/>
      <c r="L1501" s="25"/>
      <c r="M1501" s="25"/>
      <c r="N1501" s="27"/>
      <c r="O1501" s="27"/>
      <c r="P1501" s="27"/>
      <c r="Q1501" s="27"/>
      <c r="R1501" s="27"/>
      <c r="S1501" s="28"/>
      <c r="T1501" s="29"/>
      <c r="U1501" s="29"/>
      <c r="V1501" s="24"/>
      <c r="W1501" s="24"/>
    </row>
    <row r="1502">
      <c r="A1502" s="41"/>
      <c r="B1502" s="25"/>
      <c r="C1502" s="25"/>
      <c r="D1502" s="25"/>
      <c r="E1502" s="25"/>
      <c r="F1502" s="26"/>
      <c r="G1502" s="25"/>
      <c r="H1502" s="25"/>
      <c r="I1502" s="25"/>
      <c r="J1502" s="25"/>
      <c r="K1502" s="25"/>
      <c r="L1502" s="25"/>
      <c r="M1502" s="25"/>
      <c r="N1502" s="27"/>
      <c r="O1502" s="27"/>
      <c r="P1502" s="27"/>
      <c r="Q1502" s="27"/>
      <c r="R1502" s="27"/>
      <c r="S1502" s="28"/>
      <c r="T1502" s="29"/>
      <c r="U1502" s="29"/>
      <c r="V1502" s="24"/>
      <c r="W1502" s="24"/>
    </row>
    <row r="1503">
      <c r="A1503" s="41"/>
      <c r="B1503" s="25"/>
      <c r="C1503" s="25"/>
      <c r="D1503" s="25"/>
      <c r="E1503" s="25"/>
      <c r="F1503" s="26"/>
      <c r="G1503" s="25"/>
      <c r="H1503" s="25"/>
      <c r="I1503" s="25"/>
      <c r="J1503" s="25"/>
      <c r="K1503" s="25"/>
      <c r="L1503" s="25"/>
      <c r="M1503" s="25"/>
      <c r="N1503" s="27"/>
      <c r="O1503" s="27"/>
      <c r="P1503" s="27"/>
      <c r="Q1503" s="27"/>
      <c r="R1503" s="27"/>
      <c r="S1503" s="28"/>
      <c r="T1503" s="29"/>
      <c r="U1503" s="29"/>
      <c r="V1503" s="24"/>
      <c r="W1503" s="24"/>
    </row>
    <row r="1504">
      <c r="A1504" s="41"/>
      <c r="B1504" s="25"/>
      <c r="C1504" s="25"/>
      <c r="D1504" s="25"/>
      <c r="E1504" s="25"/>
      <c r="F1504" s="26"/>
      <c r="G1504" s="25"/>
      <c r="H1504" s="25"/>
      <c r="I1504" s="25"/>
      <c r="J1504" s="25"/>
      <c r="K1504" s="25"/>
      <c r="L1504" s="25"/>
      <c r="M1504" s="25"/>
      <c r="N1504" s="27"/>
      <c r="O1504" s="27"/>
      <c r="P1504" s="27"/>
      <c r="Q1504" s="27"/>
      <c r="R1504" s="27"/>
      <c r="S1504" s="28"/>
      <c r="T1504" s="29"/>
      <c r="U1504" s="29"/>
      <c r="V1504" s="24"/>
      <c r="W1504" s="24"/>
    </row>
    <row r="1505">
      <c r="A1505" s="41"/>
      <c r="B1505" s="25"/>
      <c r="C1505" s="25"/>
      <c r="D1505" s="25"/>
      <c r="E1505" s="25"/>
      <c r="F1505" s="26"/>
      <c r="G1505" s="25"/>
      <c r="H1505" s="25"/>
      <c r="I1505" s="25"/>
      <c r="J1505" s="25"/>
      <c r="K1505" s="25"/>
      <c r="L1505" s="25"/>
      <c r="M1505" s="25"/>
      <c r="N1505" s="27"/>
      <c r="O1505" s="27"/>
      <c r="P1505" s="27"/>
      <c r="Q1505" s="27"/>
      <c r="R1505" s="27"/>
      <c r="S1505" s="28"/>
      <c r="T1505" s="29"/>
      <c r="U1505" s="29"/>
      <c r="V1505" s="24"/>
      <c r="W1505" s="24"/>
    </row>
    <row r="1506">
      <c r="A1506" s="41"/>
      <c r="B1506" s="25"/>
      <c r="C1506" s="25"/>
      <c r="D1506" s="25"/>
      <c r="E1506" s="25"/>
      <c r="F1506" s="26"/>
      <c r="G1506" s="25"/>
      <c r="H1506" s="25"/>
      <c r="I1506" s="25"/>
      <c r="J1506" s="25"/>
      <c r="K1506" s="25"/>
      <c r="L1506" s="25"/>
      <c r="M1506" s="25"/>
      <c r="N1506" s="27"/>
      <c r="O1506" s="27"/>
      <c r="P1506" s="27"/>
      <c r="Q1506" s="27"/>
      <c r="R1506" s="27"/>
      <c r="S1506" s="28"/>
      <c r="T1506" s="29"/>
      <c r="U1506" s="29"/>
      <c r="V1506" s="24"/>
      <c r="W1506" s="24"/>
    </row>
    <row r="1507">
      <c r="A1507" s="41"/>
      <c r="B1507" s="25"/>
      <c r="C1507" s="25"/>
      <c r="D1507" s="25"/>
      <c r="E1507" s="25"/>
      <c r="F1507" s="26"/>
      <c r="G1507" s="25"/>
      <c r="H1507" s="25"/>
      <c r="I1507" s="25"/>
      <c r="J1507" s="25"/>
      <c r="K1507" s="25"/>
      <c r="L1507" s="25"/>
      <c r="M1507" s="25"/>
      <c r="N1507" s="27"/>
      <c r="O1507" s="27"/>
      <c r="P1507" s="27"/>
      <c r="Q1507" s="27"/>
      <c r="R1507" s="27"/>
      <c r="S1507" s="28"/>
      <c r="T1507" s="29"/>
      <c r="U1507" s="29"/>
      <c r="V1507" s="24"/>
      <c r="W1507" s="24"/>
    </row>
    <row r="1508">
      <c r="A1508" s="41"/>
      <c r="B1508" s="25"/>
      <c r="C1508" s="25"/>
      <c r="D1508" s="25"/>
      <c r="E1508" s="25"/>
      <c r="F1508" s="26"/>
      <c r="G1508" s="25"/>
      <c r="H1508" s="25"/>
      <c r="I1508" s="25"/>
      <c r="J1508" s="25"/>
      <c r="K1508" s="25"/>
      <c r="L1508" s="25"/>
      <c r="M1508" s="25"/>
      <c r="N1508" s="27"/>
      <c r="O1508" s="27"/>
      <c r="P1508" s="27"/>
      <c r="Q1508" s="27"/>
      <c r="R1508" s="27"/>
      <c r="S1508" s="28"/>
      <c r="T1508" s="29"/>
      <c r="U1508" s="29"/>
      <c r="V1508" s="24"/>
      <c r="W1508" s="24"/>
    </row>
    <row r="1509">
      <c r="A1509" s="41"/>
      <c r="B1509" s="25"/>
      <c r="C1509" s="25"/>
      <c r="D1509" s="25"/>
      <c r="E1509" s="25"/>
      <c r="F1509" s="26"/>
      <c r="G1509" s="25"/>
      <c r="H1509" s="25"/>
      <c r="I1509" s="25"/>
      <c r="J1509" s="25"/>
      <c r="K1509" s="25"/>
      <c r="L1509" s="25"/>
      <c r="M1509" s="25"/>
      <c r="N1509" s="27"/>
      <c r="O1509" s="27"/>
      <c r="P1509" s="27"/>
      <c r="Q1509" s="27"/>
      <c r="R1509" s="27"/>
      <c r="S1509" s="28"/>
      <c r="T1509" s="29"/>
      <c r="U1509" s="29"/>
      <c r="V1509" s="24"/>
      <c r="W1509" s="24"/>
    </row>
    <row r="1510">
      <c r="A1510" s="41"/>
      <c r="B1510" s="25"/>
      <c r="C1510" s="25"/>
      <c r="D1510" s="25"/>
      <c r="E1510" s="25"/>
      <c r="F1510" s="26"/>
      <c r="G1510" s="25"/>
      <c r="H1510" s="25"/>
      <c r="I1510" s="25"/>
      <c r="J1510" s="25"/>
      <c r="K1510" s="25"/>
      <c r="L1510" s="25"/>
      <c r="M1510" s="25"/>
      <c r="N1510" s="27"/>
      <c r="O1510" s="27"/>
      <c r="P1510" s="27"/>
      <c r="Q1510" s="27"/>
      <c r="R1510" s="27"/>
      <c r="S1510" s="28"/>
      <c r="T1510" s="29"/>
      <c r="U1510" s="29"/>
      <c r="V1510" s="24"/>
      <c r="W1510" s="24"/>
    </row>
    <row r="1511">
      <c r="A1511" s="41"/>
      <c r="B1511" s="25"/>
      <c r="C1511" s="25"/>
      <c r="D1511" s="25"/>
      <c r="E1511" s="25"/>
      <c r="F1511" s="26"/>
      <c r="G1511" s="25"/>
      <c r="H1511" s="25"/>
      <c r="I1511" s="25"/>
      <c r="J1511" s="25"/>
      <c r="K1511" s="25"/>
      <c r="L1511" s="25"/>
      <c r="M1511" s="25"/>
      <c r="N1511" s="27"/>
      <c r="O1511" s="27"/>
      <c r="P1511" s="27"/>
      <c r="Q1511" s="27"/>
      <c r="R1511" s="27"/>
      <c r="S1511" s="28"/>
      <c r="T1511" s="29"/>
      <c r="U1511" s="29"/>
      <c r="V1511" s="24"/>
      <c r="W1511" s="24"/>
    </row>
    <row r="1512">
      <c r="A1512" s="41"/>
      <c r="B1512" s="25"/>
      <c r="C1512" s="25"/>
      <c r="D1512" s="25"/>
      <c r="E1512" s="25"/>
      <c r="F1512" s="26"/>
      <c r="G1512" s="25"/>
      <c r="H1512" s="25"/>
      <c r="I1512" s="25"/>
      <c r="J1512" s="25"/>
      <c r="K1512" s="25"/>
      <c r="L1512" s="25"/>
      <c r="M1512" s="25"/>
      <c r="N1512" s="27"/>
      <c r="O1512" s="27"/>
      <c r="P1512" s="27"/>
      <c r="Q1512" s="27"/>
      <c r="R1512" s="27"/>
      <c r="S1512" s="28"/>
      <c r="T1512" s="29"/>
      <c r="U1512" s="29"/>
      <c r="V1512" s="24"/>
      <c r="W1512" s="24"/>
    </row>
    <row r="1513">
      <c r="A1513" s="41"/>
      <c r="B1513" s="25"/>
      <c r="C1513" s="25"/>
      <c r="D1513" s="25"/>
      <c r="E1513" s="25"/>
      <c r="F1513" s="26"/>
      <c r="G1513" s="25"/>
      <c r="H1513" s="25"/>
      <c r="I1513" s="25"/>
      <c r="J1513" s="25"/>
      <c r="K1513" s="25"/>
      <c r="L1513" s="25"/>
      <c r="M1513" s="25"/>
      <c r="N1513" s="27"/>
      <c r="O1513" s="27"/>
      <c r="P1513" s="27"/>
      <c r="Q1513" s="27"/>
      <c r="R1513" s="27"/>
      <c r="S1513" s="28"/>
      <c r="T1513" s="29"/>
      <c r="U1513" s="29"/>
      <c r="V1513" s="24"/>
      <c r="W1513" s="24"/>
    </row>
    <row r="1514">
      <c r="A1514" s="41"/>
      <c r="B1514" s="25"/>
      <c r="C1514" s="25"/>
      <c r="D1514" s="25"/>
      <c r="E1514" s="25"/>
      <c r="F1514" s="26"/>
      <c r="G1514" s="25"/>
      <c r="H1514" s="25"/>
      <c r="I1514" s="25"/>
      <c r="J1514" s="25"/>
      <c r="K1514" s="25"/>
      <c r="L1514" s="25"/>
      <c r="M1514" s="25"/>
      <c r="N1514" s="27"/>
      <c r="O1514" s="27"/>
      <c r="P1514" s="27"/>
      <c r="Q1514" s="27"/>
      <c r="R1514" s="27"/>
      <c r="S1514" s="28"/>
      <c r="T1514" s="29"/>
      <c r="U1514" s="29"/>
      <c r="V1514" s="24"/>
      <c r="W1514" s="24"/>
    </row>
    <row r="1515">
      <c r="A1515" s="41"/>
      <c r="B1515" s="25"/>
      <c r="C1515" s="25"/>
      <c r="D1515" s="25"/>
      <c r="E1515" s="25"/>
      <c r="F1515" s="26"/>
      <c r="G1515" s="25"/>
      <c r="H1515" s="25"/>
      <c r="I1515" s="25"/>
      <c r="J1515" s="25"/>
      <c r="K1515" s="25"/>
      <c r="L1515" s="25"/>
      <c r="M1515" s="25"/>
      <c r="N1515" s="27"/>
      <c r="O1515" s="27"/>
      <c r="P1515" s="27"/>
      <c r="Q1515" s="27"/>
      <c r="R1515" s="27"/>
      <c r="S1515" s="28"/>
      <c r="T1515" s="29"/>
      <c r="U1515" s="29"/>
      <c r="V1515" s="24"/>
      <c r="W1515" s="24"/>
    </row>
    <row r="1516">
      <c r="A1516" s="41"/>
      <c r="B1516" s="25"/>
      <c r="C1516" s="25"/>
      <c r="D1516" s="25"/>
      <c r="E1516" s="25"/>
      <c r="F1516" s="26"/>
      <c r="G1516" s="25"/>
      <c r="H1516" s="25"/>
      <c r="I1516" s="25"/>
      <c r="J1516" s="25"/>
      <c r="K1516" s="25"/>
      <c r="L1516" s="25"/>
      <c r="M1516" s="25"/>
      <c r="N1516" s="27"/>
      <c r="O1516" s="27"/>
      <c r="P1516" s="27"/>
      <c r="Q1516" s="27"/>
      <c r="R1516" s="27"/>
      <c r="S1516" s="28"/>
      <c r="T1516" s="29"/>
      <c r="U1516" s="29"/>
      <c r="V1516" s="24"/>
      <c r="W1516" s="24"/>
    </row>
    <row r="1517">
      <c r="A1517" s="41"/>
      <c r="B1517" s="25"/>
      <c r="C1517" s="25"/>
      <c r="D1517" s="25"/>
      <c r="E1517" s="25"/>
      <c r="F1517" s="26"/>
      <c r="G1517" s="25"/>
      <c r="H1517" s="25"/>
      <c r="I1517" s="25"/>
      <c r="J1517" s="25"/>
      <c r="K1517" s="25"/>
      <c r="L1517" s="25"/>
      <c r="M1517" s="25"/>
      <c r="N1517" s="27"/>
      <c r="O1517" s="27"/>
      <c r="P1517" s="27"/>
      <c r="Q1517" s="27"/>
      <c r="R1517" s="27"/>
      <c r="S1517" s="28"/>
      <c r="T1517" s="29"/>
      <c r="U1517" s="29"/>
      <c r="V1517" s="24"/>
      <c r="W1517" s="24"/>
    </row>
    <row r="1518">
      <c r="A1518" s="41"/>
      <c r="B1518" s="25"/>
      <c r="C1518" s="25"/>
      <c r="D1518" s="25"/>
      <c r="E1518" s="25"/>
      <c r="F1518" s="26"/>
      <c r="G1518" s="25"/>
      <c r="H1518" s="25"/>
      <c r="I1518" s="25"/>
      <c r="J1518" s="25"/>
      <c r="K1518" s="25"/>
      <c r="L1518" s="25"/>
      <c r="M1518" s="25"/>
      <c r="N1518" s="27"/>
      <c r="O1518" s="27"/>
      <c r="P1518" s="27"/>
      <c r="Q1518" s="27"/>
      <c r="R1518" s="27"/>
      <c r="S1518" s="28"/>
      <c r="T1518" s="29"/>
      <c r="U1518" s="29"/>
      <c r="V1518" s="24"/>
      <c r="W1518" s="24"/>
    </row>
    <row r="1519">
      <c r="A1519" s="41"/>
      <c r="B1519" s="25"/>
      <c r="C1519" s="25"/>
      <c r="D1519" s="25"/>
      <c r="E1519" s="25"/>
      <c r="F1519" s="26"/>
      <c r="G1519" s="25"/>
      <c r="H1519" s="25"/>
      <c r="I1519" s="25"/>
      <c r="J1519" s="25"/>
      <c r="K1519" s="25"/>
      <c r="L1519" s="25"/>
      <c r="M1519" s="25"/>
      <c r="N1519" s="27"/>
      <c r="O1519" s="27"/>
      <c r="P1519" s="27"/>
      <c r="Q1519" s="27"/>
      <c r="R1519" s="27"/>
      <c r="S1519" s="28"/>
      <c r="T1519" s="29"/>
      <c r="U1519" s="29"/>
      <c r="V1519" s="24"/>
      <c r="W1519" s="24"/>
    </row>
    <row r="1520">
      <c r="A1520" s="41"/>
      <c r="B1520" s="25"/>
      <c r="C1520" s="25"/>
      <c r="D1520" s="25"/>
      <c r="E1520" s="25"/>
      <c r="F1520" s="26"/>
      <c r="G1520" s="25"/>
      <c r="H1520" s="25"/>
      <c r="I1520" s="25"/>
      <c r="J1520" s="25"/>
      <c r="K1520" s="25"/>
      <c r="L1520" s="25"/>
      <c r="M1520" s="25"/>
      <c r="N1520" s="27"/>
      <c r="O1520" s="27"/>
      <c r="P1520" s="27"/>
      <c r="Q1520" s="27"/>
      <c r="R1520" s="27"/>
      <c r="S1520" s="28"/>
      <c r="T1520" s="29"/>
      <c r="U1520" s="29"/>
      <c r="V1520" s="24"/>
      <c r="W1520" s="24"/>
    </row>
    <row r="1521">
      <c r="A1521" s="41"/>
      <c r="B1521" s="25"/>
      <c r="C1521" s="25"/>
      <c r="D1521" s="25"/>
      <c r="E1521" s="25"/>
      <c r="F1521" s="26"/>
      <c r="G1521" s="25"/>
      <c r="H1521" s="25"/>
      <c r="I1521" s="25"/>
      <c r="J1521" s="25"/>
      <c r="K1521" s="25"/>
      <c r="L1521" s="25"/>
      <c r="M1521" s="25"/>
      <c r="N1521" s="27"/>
      <c r="O1521" s="27"/>
      <c r="P1521" s="27"/>
      <c r="Q1521" s="27"/>
      <c r="R1521" s="27"/>
      <c r="S1521" s="28"/>
      <c r="T1521" s="29"/>
      <c r="U1521" s="29"/>
      <c r="V1521" s="24"/>
      <c r="W1521" s="24"/>
    </row>
    <row r="1522">
      <c r="A1522" s="41"/>
      <c r="B1522" s="25"/>
      <c r="C1522" s="25"/>
      <c r="D1522" s="25"/>
      <c r="E1522" s="25"/>
      <c r="F1522" s="26"/>
      <c r="G1522" s="25"/>
      <c r="H1522" s="25"/>
      <c r="I1522" s="25"/>
      <c r="J1522" s="25"/>
      <c r="K1522" s="25"/>
      <c r="L1522" s="25"/>
      <c r="M1522" s="25"/>
      <c r="N1522" s="27"/>
      <c r="O1522" s="27"/>
      <c r="P1522" s="27"/>
      <c r="Q1522" s="27"/>
      <c r="R1522" s="27"/>
      <c r="S1522" s="28"/>
      <c r="T1522" s="29"/>
      <c r="U1522" s="29"/>
      <c r="V1522" s="24"/>
      <c r="W1522" s="24"/>
    </row>
    <row r="1523">
      <c r="A1523" s="41"/>
      <c r="B1523" s="25"/>
      <c r="C1523" s="25"/>
      <c r="D1523" s="25"/>
      <c r="E1523" s="25"/>
      <c r="F1523" s="26"/>
      <c r="G1523" s="25"/>
      <c r="H1523" s="25"/>
      <c r="I1523" s="25"/>
      <c r="J1523" s="25"/>
      <c r="K1523" s="25"/>
      <c r="L1523" s="25"/>
      <c r="M1523" s="25"/>
      <c r="N1523" s="27"/>
      <c r="O1523" s="27"/>
      <c r="P1523" s="27"/>
      <c r="Q1523" s="27"/>
      <c r="R1523" s="27"/>
      <c r="S1523" s="28"/>
      <c r="T1523" s="29"/>
      <c r="U1523" s="29"/>
      <c r="V1523" s="24"/>
      <c r="W1523" s="24"/>
    </row>
    <row r="1524">
      <c r="A1524" s="41"/>
      <c r="B1524" s="25"/>
      <c r="C1524" s="25"/>
      <c r="D1524" s="25"/>
      <c r="E1524" s="25"/>
      <c r="F1524" s="26"/>
      <c r="G1524" s="25"/>
      <c r="H1524" s="25"/>
      <c r="I1524" s="25"/>
      <c r="J1524" s="25"/>
      <c r="K1524" s="25"/>
      <c r="L1524" s="25"/>
      <c r="M1524" s="25"/>
      <c r="N1524" s="27"/>
      <c r="O1524" s="27"/>
      <c r="P1524" s="27"/>
      <c r="Q1524" s="27"/>
      <c r="R1524" s="27"/>
      <c r="S1524" s="28"/>
      <c r="T1524" s="29"/>
      <c r="U1524" s="29"/>
      <c r="V1524" s="24"/>
      <c r="W1524" s="24"/>
    </row>
    <row r="1525">
      <c r="A1525" s="41"/>
      <c r="B1525" s="25"/>
      <c r="C1525" s="25"/>
      <c r="D1525" s="25"/>
      <c r="E1525" s="25"/>
      <c r="F1525" s="26"/>
      <c r="G1525" s="25"/>
      <c r="H1525" s="25"/>
      <c r="I1525" s="25"/>
      <c r="J1525" s="25"/>
      <c r="K1525" s="25"/>
      <c r="L1525" s="25"/>
      <c r="M1525" s="25"/>
      <c r="N1525" s="27"/>
      <c r="O1525" s="27"/>
      <c r="P1525" s="27"/>
      <c r="Q1525" s="27"/>
      <c r="R1525" s="27"/>
      <c r="S1525" s="28"/>
      <c r="T1525" s="29"/>
      <c r="U1525" s="29"/>
      <c r="V1525" s="24"/>
      <c r="W1525" s="24"/>
    </row>
    <row r="1526">
      <c r="A1526" s="41"/>
      <c r="B1526" s="25"/>
      <c r="C1526" s="25"/>
      <c r="D1526" s="25"/>
      <c r="E1526" s="25"/>
      <c r="F1526" s="26"/>
      <c r="G1526" s="25"/>
      <c r="H1526" s="25"/>
      <c r="I1526" s="25"/>
      <c r="J1526" s="25"/>
      <c r="K1526" s="25"/>
      <c r="L1526" s="25"/>
      <c r="M1526" s="25"/>
      <c r="N1526" s="27"/>
      <c r="O1526" s="27"/>
      <c r="P1526" s="27"/>
      <c r="Q1526" s="27"/>
      <c r="R1526" s="27"/>
      <c r="S1526" s="28"/>
      <c r="T1526" s="29"/>
      <c r="U1526" s="29"/>
      <c r="V1526" s="24"/>
      <c r="W1526" s="24"/>
    </row>
    <row r="1527">
      <c r="A1527" s="41"/>
      <c r="B1527" s="25"/>
      <c r="C1527" s="25"/>
      <c r="D1527" s="25"/>
      <c r="E1527" s="25"/>
      <c r="F1527" s="26"/>
      <c r="G1527" s="25"/>
      <c r="H1527" s="25"/>
      <c r="I1527" s="25"/>
      <c r="J1527" s="25"/>
      <c r="K1527" s="25"/>
      <c r="L1527" s="25"/>
      <c r="M1527" s="25"/>
      <c r="N1527" s="27"/>
      <c r="O1527" s="27"/>
      <c r="P1527" s="27"/>
      <c r="Q1527" s="27"/>
      <c r="R1527" s="27"/>
      <c r="S1527" s="28"/>
      <c r="T1527" s="29"/>
      <c r="U1527" s="29"/>
      <c r="V1527" s="24"/>
      <c r="W1527" s="24"/>
    </row>
    <row r="1528">
      <c r="A1528" s="41"/>
      <c r="B1528" s="25"/>
      <c r="C1528" s="25"/>
      <c r="D1528" s="25"/>
      <c r="E1528" s="25"/>
      <c r="F1528" s="26"/>
      <c r="G1528" s="25"/>
      <c r="H1528" s="25"/>
      <c r="I1528" s="25"/>
      <c r="J1528" s="25"/>
      <c r="K1528" s="25"/>
      <c r="L1528" s="25"/>
      <c r="M1528" s="25"/>
      <c r="N1528" s="27"/>
      <c r="O1528" s="27"/>
      <c r="P1528" s="27"/>
      <c r="Q1528" s="27"/>
      <c r="R1528" s="27"/>
      <c r="S1528" s="28"/>
      <c r="T1528" s="29"/>
      <c r="U1528" s="29"/>
      <c r="V1528" s="24"/>
      <c r="W1528" s="24"/>
    </row>
    <row r="1529">
      <c r="A1529" s="41"/>
      <c r="B1529" s="25"/>
      <c r="C1529" s="25"/>
      <c r="D1529" s="25"/>
      <c r="E1529" s="25"/>
      <c r="F1529" s="26"/>
      <c r="G1529" s="25"/>
      <c r="H1529" s="25"/>
      <c r="I1529" s="25"/>
      <c r="J1529" s="25"/>
      <c r="K1529" s="25"/>
      <c r="L1529" s="25"/>
      <c r="M1529" s="25"/>
      <c r="N1529" s="27"/>
      <c r="O1529" s="27"/>
      <c r="P1529" s="27"/>
      <c r="Q1529" s="27"/>
      <c r="R1529" s="27"/>
      <c r="S1529" s="28"/>
      <c r="T1529" s="29"/>
      <c r="U1529" s="29"/>
      <c r="V1529" s="24"/>
      <c r="W1529" s="24"/>
    </row>
    <row r="1530">
      <c r="A1530" s="41"/>
      <c r="B1530" s="25"/>
      <c r="C1530" s="25"/>
      <c r="D1530" s="25"/>
      <c r="E1530" s="25"/>
      <c r="F1530" s="26"/>
      <c r="G1530" s="25"/>
      <c r="H1530" s="25"/>
      <c r="I1530" s="25"/>
      <c r="J1530" s="25"/>
      <c r="K1530" s="25"/>
      <c r="L1530" s="25"/>
      <c r="M1530" s="25"/>
      <c r="N1530" s="27"/>
      <c r="O1530" s="27"/>
      <c r="P1530" s="27"/>
      <c r="Q1530" s="27"/>
      <c r="R1530" s="27"/>
      <c r="S1530" s="28"/>
      <c r="T1530" s="29"/>
      <c r="U1530" s="29"/>
      <c r="V1530" s="24"/>
      <c r="W1530" s="24"/>
    </row>
    <row r="1531">
      <c r="A1531" s="41"/>
      <c r="B1531" s="25"/>
      <c r="C1531" s="25"/>
      <c r="D1531" s="25"/>
      <c r="E1531" s="25"/>
      <c r="F1531" s="26"/>
      <c r="G1531" s="25"/>
      <c r="H1531" s="25"/>
      <c r="I1531" s="25"/>
      <c r="J1531" s="25"/>
      <c r="K1531" s="25"/>
      <c r="L1531" s="25"/>
      <c r="M1531" s="25"/>
      <c r="N1531" s="27"/>
      <c r="O1531" s="27"/>
      <c r="P1531" s="27"/>
      <c r="Q1531" s="27"/>
      <c r="R1531" s="27"/>
      <c r="S1531" s="28"/>
      <c r="T1531" s="29"/>
      <c r="U1531" s="29"/>
      <c r="V1531" s="24"/>
      <c r="W1531" s="24"/>
    </row>
    <row r="1532">
      <c r="A1532" s="41"/>
      <c r="B1532" s="25"/>
      <c r="C1532" s="25"/>
      <c r="D1532" s="25"/>
      <c r="E1532" s="25"/>
      <c r="F1532" s="26"/>
      <c r="G1532" s="25"/>
      <c r="H1532" s="25"/>
      <c r="I1532" s="25"/>
      <c r="J1532" s="25"/>
      <c r="K1532" s="25"/>
      <c r="L1532" s="25"/>
      <c r="M1532" s="25"/>
      <c r="N1532" s="27"/>
      <c r="O1532" s="27"/>
      <c r="P1532" s="27"/>
      <c r="Q1532" s="27"/>
      <c r="R1532" s="27"/>
      <c r="S1532" s="28"/>
      <c r="T1532" s="29"/>
      <c r="U1532" s="29"/>
      <c r="V1532" s="24"/>
      <c r="W1532" s="24"/>
    </row>
    <row r="1533">
      <c r="A1533" s="41"/>
      <c r="B1533" s="25"/>
      <c r="C1533" s="25"/>
      <c r="D1533" s="25"/>
      <c r="E1533" s="25"/>
      <c r="F1533" s="26"/>
      <c r="G1533" s="25"/>
      <c r="H1533" s="25"/>
      <c r="I1533" s="25"/>
      <c r="J1533" s="25"/>
      <c r="K1533" s="25"/>
      <c r="L1533" s="25"/>
      <c r="M1533" s="25"/>
      <c r="N1533" s="27"/>
      <c r="O1533" s="27"/>
      <c r="P1533" s="27"/>
      <c r="Q1533" s="27"/>
      <c r="R1533" s="27"/>
      <c r="S1533" s="28"/>
      <c r="T1533" s="29"/>
      <c r="U1533" s="29"/>
      <c r="V1533" s="24"/>
      <c r="W1533" s="24"/>
    </row>
    <row r="1534">
      <c r="A1534" s="41"/>
      <c r="B1534" s="25"/>
      <c r="C1534" s="25"/>
      <c r="D1534" s="25"/>
      <c r="E1534" s="25"/>
      <c r="F1534" s="26"/>
      <c r="G1534" s="25"/>
      <c r="H1534" s="25"/>
      <c r="I1534" s="25"/>
      <c r="J1534" s="25"/>
      <c r="K1534" s="25"/>
      <c r="L1534" s="25"/>
      <c r="M1534" s="25"/>
      <c r="N1534" s="27"/>
      <c r="O1534" s="27"/>
      <c r="P1534" s="27"/>
      <c r="Q1534" s="27"/>
      <c r="R1534" s="27"/>
      <c r="S1534" s="28"/>
      <c r="T1534" s="29"/>
      <c r="U1534" s="29"/>
      <c r="V1534" s="24"/>
      <c r="W1534" s="24"/>
    </row>
    <row r="1535">
      <c r="A1535" s="41"/>
      <c r="B1535" s="25"/>
      <c r="C1535" s="25"/>
      <c r="D1535" s="25"/>
      <c r="E1535" s="25"/>
      <c r="F1535" s="26"/>
      <c r="G1535" s="25"/>
      <c r="H1535" s="25"/>
      <c r="I1535" s="25"/>
      <c r="J1535" s="25"/>
      <c r="K1535" s="25"/>
      <c r="L1535" s="25"/>
      <c r="M1535" s="25"/>
      <c r="N1535" s="27"/>
      <c r="O1535" s="27"/>
      <c r="P1535" s="27"/>
      <c r="Q1535" s="27"/>
      <c r="R1535" s="27"/>
      <c r="S1535" s="28"/>
      <c r="T1535" s="29"/>
      <c r="U1535" s="29"/>
      <c r="V1535" s="24"/>
      <c r="W1535" s="24"/>
    </row>
    <row r="1536">
      <c r="A1536" s="41"/>
      <c r="B1536" s="25"/>
      <c r="C1536" s="25"/>
      <c r="D1536" s="25"/>
      <c r="E1536" s="25"/>
      <c r="F1536" s="26"/>
      <c r="G1536" s="25"/>
      <c r="H1536" s="25"/>
      <c r="I1536" s="25"/>
      <c r="J1536" s="25"/>
      <c r="K1536" s="25"/>
      <c r="L1536" s="25"/>
      <c r="M1536" s="25"/>
      <c r="N1536" s="27"/>
      <c r="O1536" s="27"/>
      <c r="P1536" s="27"/>
      <c r="Q1536" s="27"/>
      <c r="R1536" s="27"/>
      <c r="S1536" s="28"/>
      <c r="T1536" s="29"/>
      <c r="U1536" s="29"/>
      <c r="V1536" s="24"/>
      <c r="W1536" s="24"/>
    </row>
    <row r="1537">
      <c r="A1537" s="41"/>
      <c r="B1537" s="25"/>
      <c r="C1537" s="25"/>
      <c r="D1537" s="25"/>
      <c r="E1537" s="25"/>
      <c r="F1537" s="26"/>
      <c r="G1537" s="25"/>
      <c r="H1537" s="25"/>
      <c r="I1537" s="25"/>
      <c r="J1537" s="25"/>
      <c r="K1537" s="25"/>
      <c r="L1537" s="25"/>
      <c r="M1537" s="25"/>
      <c r="N1537" s="27"/>
      <c r="O1537" s="27"/>
      <c r="P1537" s="27"/>
      <c r="Q1537" s="27"/>
      <c r="R1537" s="27"/>
      <c r="S1537" s="28"/>
      <c r="T1537" s="29"/>
      <c r="U1537" s="29"/>
      <c r="V1537" s="24"/>
      <c r="W1537" s="24"/>
    </row>
    <row r="1538">
      <c r="A1538" s="41"/>
      <c r="B1538" s="25"/>
      <c r="C1538" s="25"/>
      <c r="D1538" s="25"/>
      <c r="E1538" s="25"/>
      <c r="F1538" s="26"/>
      <c r="G1538" s="25"/>
      <c r="H1538" s="25"/>
      <c r="I1538" s="25"/>
      <c r="J1538" s="25"/>
      <c r="K1538" s="25"/>
      <c r="L1538" s="25"/>
      <c r="M1538" s="25"/>
      <c r="N1538" s="27"/>
      <c r="O1538" s="27"/>
      <c r="P1538" s="27"/>
      <c r="Q1538" s="27"/>
      <c r="R1538" s="27"/>
      <c r="S1538" s="28"/>
      <c r="T1538" s="29"/>
      <c r="U1538" s="29"/>
      <c r="V1538" s="24"/>
      <c r="W1538" s="24"/>
    </row>
    <row r="1539">
      <c r="A1539" s="41"/>
      <c r="B1539" s="25"/>
      <c r="C1539" s="25"/>
      <c r="D1539" s="25"/>
      <c r="E1539" s="25"/>
      <c r="F1539" s="26"/>
      <c r="G1539" s="25"/>
      <c r="H1539" s="25"/>
      <c r="I1539" s="25"/>
      <c r="J1539" s="25"/>
      <c r="K1539" s="25"/>
      <c r="L1539" s="25"/>
      <c r="M1539" s="25"/>
      <c r="N1539" s="27"/>
      <c r="O1539" s="27"/>
      <c r="P1539" s="27"/>
      <c r="Q1539" s="27"/>
      <c r="R1539" s="27"/>
      <c r="S1539" s="28"/>
      <c r="T1539" s="29"/>
      <c r="U1539" s="29"/>
      <c r="V1539" s="24"/>
      <c r="W1539" s="24"/>
    </row>
    <row r="1540">
      <c r="A1540" s="41"/>
      <c r="B1540" s="25"/>
      <c r="C1540" s="25"/>
      <c r="D1540" s="25"/>
      <c r="E1540" s="25"/>
      <c r="F1540" s="26"/>
      <c r="G1540" s="25"/>
      <c r="H1540" s="25"/>
      <c r="I1540" s="25"/>
      <c r="J1540" s="25"/>
      <c r="K1540" s="25"/>
      <c r="L1540" s="25"/>
      <c r="M1540" s="25"/>
      <c r="N1540" s="27"/>
      <c r="O1540" s="27"/>
      <c r="P1540" s="27"/>
      <c r="Q1540" s="27"/>
      <c r="R1540" s="27"/>
      <c r="S1540" s="28"/>
      <c r="T1540" s="29"/>
      <c r="U1540" s="29"/>
      <c r="V1540" s="24"/>
      <c r="W1540" s="24"/>
    </row>
    <row r="1541">
      <c r="A1541" s="41"/>
      <c r="B1541" s="25"/>
      <c r="C1541" s="25"/>
      <c r="D1541" s="25"/>
      <c r="E1541" s="25"/>
      <c r="F1541" s="26"/>
      <c r="G1541" s="25"/>
      <c r="H1541" s="25"/>
      <c r="I1541" s="25"/>
      <c r="J1541" s="25"/>
      <c r="K1541" s="25"/>
      <c r="L1541" s="25"/>
      <c r="M1541" s="25"/>
      <c r="N1541" s="27"/>
      <c r="O1541" s="27"/>
      <c r="P1541" s="27"/>
      <c r="Q1541" s="27"/>
      <c r="R1541" s="27"/>
      <c r="S1541" s="28"/>
      <c r="T1541" s="29"/>
      <c r="U1541" s="29"/>
      <c r="V1541" s="24"/>
      <c r="W1541" s="24"/>
    </row>
    <row r="1542">
      <c r="A1542" s="41"/>
      <c r="B1542" s="25"/>
      <c r="C1542" s="25"/>
      <c r="D1542" s="25"/>
      <c r="E1542" s="25"/>
      <c r="F1542" s="26"/>
      <c r="G1542" s="25"/>
      <c r="H1542" s="25"/>
      <c r="I1542" s="25"/>
      <c r="J1542" s="25"/>
      <c r="K1542" s="25"/>
      <c r="L1542" s="25"/>
      <c r="M1542" s="25"/>
      <c r="N1542" s="27"/>
      <c r="O1542" s="27"/>
      <c r="P1542" s="27"/>
      <c r="Q1542" s="27"/>
      <c r="R1542" s="27"/>
      <c r="S1542" s="28"/>
      <c r="T1542" s="29"/>
      <c r="U1542" s="29"/>
      <c r="V1542" s="24"/>
      <c r="W1542" s="24"/>
    </row>
    <row r="1543">
      <c r="A1543" s="41"/>
      <c r="B1543" s="25"/>
      <c r="C1543" s="25"/>
      <c r="D1543" s="25"/>
      <c r="E1543" s="25"/>
      <c r="F1543" s="26"/>
      <c r="G1543" s="25"/>
      <c r="H1543" s="25"/>
      <c r="I1543" s="25"/>
      <c r="J1543" s="25"/>
      <c r="K1543" s="25"/>
      <c r="L1543" s="25"/>
      <c r="M1543" s="25"/>
      <c r="N1543" s="27"/>
      <c r="O1543" s="27"/>
      <c r="P1543" s="27"/>
      <c r="Q1543" s="27"/>
      <c r="R1543" s="27"/>
      <c r="S1543" s="28"/>
      <c r="T1543" s="29"/>
      <c r="U1543" s="29"/>
      <c r="V1543" s="24"/>
      <c r="W1543" s="24"/>
    </row>
    <row r="1544">
      <c r="A1544" s="41"/>
      <c r="B1544" s="25"/>
      <c r="C1544" s="25"/>
      <c r="D1544" s="25"/>
      <c r="E1544" s="25"/>
      <c r="F1544" s="26"/>
      <c r="G1544" s="25"/>
      <c r="H1544" s="25"/>
      <c r="I1544" s="25"/>
      <c r="J1544" s="25"/>
      <c r="K1544" s="25"/>
      <c r="L1544" s="25"/>
      <c r="M1544" s="25"/>
      <c r="N1544" s="27"/>
      <c r="O1544" s="27"/>
      <c r="P1544" s="27"/>
      <c r="Q1544" s="27"/>
      <c r="R1544" s="27"/>
      <c r="S1544" s="28"/>
      <c r="T1544" s="29"/>
      <c r="U1544" s="29"/>
      <c r="V1544" s="24"/>
      <c r="W1544" s="24"/>
    </row>
    <row r="1545">
      <c r="A1545" s="41"/>
      <c r="B1545" s="25"/>
      <c r="C1545" s="25"/>
      <c r="D1545" s="25"/>
      <c r="E1545" s="25"/>
      <c r="F1545" s="26"/>
      <c r="G1545" s="25"/>
      <c r="H1545" s="25"/>
      <c r="I1545" s="25"/>
      <c r="J1545" s="25"/>
      <c r="K1545" s="25"/>
      <c r="L1545" s="25"/>
      <c r="M1545" s="25"/>
      <c r="N1545" s="27"/>
      <c r="O1545" s="27"/>
      <c r="P1545" s="27"/>
      <c r="Q1545" s="27"/>
      <c r="R1545" s="27"/>
      <c r="S1545" s="28"/>
      <c r="T1545" s="29"/>
      <c r="U1545" s="29"/>
      <c r="V1545" s="24"/>
      <c r="W1545" s="24"/>
    </row>
    <row r="1546">
      <c r="A1546" s="41"/>
      <c r="B1546" s="25"/>
      <c r="C1546" s="25"/>
      <c r="D1546" s="25"/>
      <c r="E1546" s="25"/>
      <c r="F1546" s="26"/>
      <c r="G1546" s="25"/>
      <c r="H1546" s="25"/>
      <c r="I1546" s="25"/>
      <c r="J1546" s="25"/>
      <c r="K1546" s="25"/>
      <c r="L1546" s="25"/>
      <c r="M1546" s="25"/>
      <c r="N1546" s="27"/>
      <c r="O1546" s="27"/>
      <c r="P1546" s="27"/>
      <c r="Q1546" s="27"/>
      <c r="R1546" s="27"/>
      <c r="S1546" s="28"/>
      <c r="T1546" s="29"/>
      <c r="U1546" s="29"/>
      <c r="V1546" s="24"/>
      <c r="W1546" s="24"/>
    </row>
    <row r="1547">
      <c r="A1547" s="41"/>
      <c r="B1547" s="25"/>
      <c r="C1547" s="25"/>
      <c r="D1547" s="25"/>
      <c r="E1547" s="25"/>
      <c r="F1547" s="26"/>
      <c r="G1547" s="25"/>
      <c r="H1547" s="25"/>
      <c r="I1547" s="25"/>
      <c r="J1547" s="25"/>
      <c r="K1547" s="25"/>
      <c r="L1547" s="25"/>
      <c r="M1547" s="25"/>
      <c r="N1547" s="27"/>
      <c r="O1547" s="27"/>
      <c r="P1547" s="27"/>
      <c r="Q1547" s="27"/>
      <c r="R1547" s="27"/>
      <c r="S1547" s="28"/>
      <c r="T1547" s="29"/>
      <c r="U1547" s="29"/>
      <c r="V1547" s="24"/>
      <c r="W1547" s="24"/>
    </row>
    <row r="1548">
      <c r="A1548" s="41"/>
      <c r="B1548" s="25"/>
      <c r="C1548" s="25"/>
      <c r="D1548" s="25"/>
      <c r="E1548" s="25"/>
      <c r="F1548" s="26"/>
      <c r="G1548" s="25"/>
      <c r="H1548" s="25"/>
      <c r="I1548" s="25"/>
      <c r="J1548" s="25"/>
      <c r="K1548" s="25"/>
      <c r="L1548" s="25"/>
      <c r="M1548" s="25"/>
      <c r="N1548" s="27"/>
      <c r="O1548" s="27"/>
      <c r="P1548" s="27"/>
      <c r="Q1548" s="27"/>
      <c r="R1548" s="27"/>
      <c r="S1548" s="28"/>
      <c r="T1548" s="29"/>
      <c r="U1548" s="29"/>
      <c r="V1548" s="24"/>
      <c r="W1548" s="24"/>
    </row>
    <row r="1549">
      <c r="A1549" s="41"/>
      <c r="B1549" s="25"/>
      <c r="C1549" s="25"/>
      <c r="D1549" s="25"/>
      <c r="E1549" s="25"/>
      <c r="F1549" s="26"/>
      <c r="G1549" s="25"/>
      <c r="H1549" s="25"/>
      <c r="I1549" s="25"/>
      <c r="J1549" s="25"/>
      <c r="K1549" s="25"/>
      <c r="L1549" s="25"/>
      <c r="M1549" s="25"/>
      <c r="N1549" s="27"/>
      <c r="O1549" s="27"/>
      <c r="P1549" s="27"/>
      <c r="Q1549" s="27"/>
      <c r="R1549" s="27"/>
      <c r="S1549" s="28"/>
      <c r="T1549" s="29"/>
      <c r="U1549" s="29"/>
      <c r="V1549" s="24"/>
      <c r="W1549" s="24"/>
    </row>
    <row r="1550">
      <c r="A1550" s="41"/>
      <c r="B1550" s="25"/>
      <c r="C1550" s="25"/>
      <c r="D1550" s="25"/>
      <c r="E1550" s="25"/>
      <c r="F1550" s="26"/>
      <c r="G1550" s="25"/>
      <c r="H1550" s="25"/>
      <c r="I1550" s="25"/>
      <c r="J1550" s="25"/>
      <c r="K1550" s="25"/>
      <c r="L1550" s="25"/>
      <c r="M1550" s="25"/>
      <c r="N1550" s="27"/>
      <c r="O1550" s="27"/>
      <c r="P1550" s="27"/>
      <c r="Q1550" s="27"/>
      <c r="R1550" s="27"/>
      <c r="S1550" s="28"/>
      <c r="T1550" s="29"/>
      <c r="U1550" s="29"/>
      <c r="V1550" s="24"/>
      <c r="W1550" s="24"/>
    </row>
    <row r="1551">
      <c r="A1551" s="41"/>
      <c r="B1551" s="25"/>
      <c r="C1551" s="25"/>
      <c r="D1551" s="25"/>
      <c r="E1551" s="25"/>
      <c r="F1551" s="26"/>
      <c r="G1551" s="25"/>
      <c r="H1551" s="25"/>
      <c r="I1551" s="25"/>
      <c r="J1551" s="25"/>
      <c r="K1551" s="25"/>
      <c r="L1551" s="25"/>
      <c r="M1551" s="25"/>
      <c r="N1551" s="27"/>
      <c r="O1551" s="27"/>
      <c r="P1551" s="27"/>
      <c r="Q1551" s="27"/>
      <c r="R1551" s="27"/>
      <c r="S1551" s="28"/>
      <c r="T1551" s="29"/>
      <c r="U1551" s="29"/>
      <c r="V1551" s="24"/>
      <c r="W1551" s="24"/>
    </row>
    <row r="1552">
      <c r="A1552" s="41"/>
      <c r="B1552" s="25"/>
      <c r="C1552" s="25"/>
      <c r="D1552" s="25"/>
      <c r="E1552" s="25"/>
      <c r="F1552" s="26"/>
      <c r="G1552" s="25"/>
      <c r="H1552" s="25"/>
      <c r="I1552" s="25"/>
      <c r="J1552" s="25"/>
      <c r="K1552" s="25"/>
      <c r="L1552" s="25"/>
      <c r="M1552" s="25"/>
      <c r="N1552" s="27"/>
      <c r="O1552" s="27"/>
      <c r="P1552" s="27"/>
      <c r="Q1552" s="27"/>
      <c r="R1552" s="27"/>
      <c r="S1552" s="28"/>
      <c r="T1552" s="29"/>
      <c r="U1552" s="29"/>
      <c r="V1552" s="24"/>
      <c r="W1552" s="24"/>
    </row>
    <row r="1553">
      <c r="A1553" s="41"/>
      <c r="B1553" s="25"/>
      <c r="C1553" s="25"/>
      <c r="D1553" s="25"/>
      <c r="E1553" s="25"/>
      <c r="F1553" s="26"/>
      <c r="G1553" s="25"/>
      <c r="H1553" s="25"/>
      <c r="I1553" s="25"/>
      <c r="J1553" s="25"/>
      <c r="K1553" s="25"/>
      <c r="L1553" s="25"/>
      <c r="M1553" s="25"/>
      <c r="N1553" s="27"/>
      <c r="O1553" s="27"/>
      <c r="P1553" s="27"/>
      <c r="Q1553" s="27"/>
      <c r="R1553" s="27"/>
      <c r="S1553" s="28"/>
      <c r="T1553" s="29"/>
      <c r="U1553" s="29"/>
      <c r="V1553" s="24"/>
      <c r="W1553" s="24"/>
    </row>
    <row r="1554">
      <c r="A1554" s="41"/>
      <c r="B1554" s="25"/>
      <c r="C1554" s="25"/>
      <c r="D1554" s="25"/>
      <c r="E1554" s="25"/>
      <c r="F1554" s="26"/>
      <c r="G1554" s="25"/>
      <c r="H1554" s="25"/>
      <c r="I1554" s="25"/>
      <c r="J1554" s="25"/>
      <c r="K1554" s="25"/>
      <c r="L1554" s="25"/>
      <c r="M1554" s="25"/>
      <c r="N1554" s="27"/>
      <c r="O1554" s="27"/>
      <c r="P1554" s="27"/>
      <c r="Q1554" s="27"/>
      <c r="R1554" s="27"/>
      <c r="S1554" s="28"/>
      <c r="T1554" s="29"/>
      <c r="U1554" s="29"/>
      <c r="V1554" s="24"/>
      <c r="W1554" s="24"/>
    </row>
    <row r="1555">
      <c r="A1555" s="41"/>
      <c r="B1555" s="25"/>
      <c r="C1555" s="25"/>
      <c r="D1555" s="25"/>
      <c r="E1555" s="25"/>
      <c r="F1555" s="26"/>
      <c r="G1555" s="25"/>
      <c r="H1555" s="25"/>
      <c r="I1555" s="25"/>
      <c r="J1555" s="25"/>
      <c r="K1555" s="25"/>
      <c r="L1555" s="25"/>
      <c r="M1555" s="25"/>
      <c r="N1555" s="27"/>
      <c r="O1555" s="27"/>
      <c r="P1555" s="27"/>
      <c r="Q1555" s="27"/>
      <c r="R1555" s="27"/>
      <c r="S1555" s="28"/>
      <c r="T1555" s="29"/>
      <c r="U1555" s="29"/>
      <c r="V1555" s="24"/>
      <c r="W1555" s="24"/>
    </row>
    <row r="1556">
      <c r="A1556" s="41"/>
      <c r="B1556" s="25"/>
      <c r="C1556" s="25"/>
      <c r="D1556" s="25"/>
      <c r="E1556" s="25"/>
      <c r="F1556" s="26"/>
      <c r="G1556" s="25"/>
      <c r="H1556" s="25"/>
      <c r="I1556" s="25"/>
      <c r="J1556" s="25"/>
      <c r="K1556" s="25"/>
      <c r="L1556" s="25"/>
      <c r="M1556" s="25"/>
      <c r="N1556" s="27"/>
      <c r="O1556" s="27"/>
      <c r="P1556" s="27"/>
      <c r="Q1556" s="27"/>
      <c r="R1556" s="27"/>
      <c r="S1556" s="28"/>
      <c r="T1556" s="29"/>
      <c r="U1556" s="29"/>
      <c r="V1556" s="24"/>
      <c r="W1556" s="24"/>
    </row>
    <row r="1557">
      <c r="A1557" s="41"/>
      <c r="B1557" s="25"/>
      <c r="C1557" s="25"/>
      <c r="D1557" s="25"/>
      <c r="E1557" s="25"/>
      <c r="F1557" s="26"/>
      <c r="G1557" s="25"/>
      <c r="H1557" s="25"/>
      <c r="I1557" s="25"/>
      <c r="J1557" s="25"/>
      <c r="K1557" s="25"/>
      <c r="L1557" s="25"/>
      <c r="M1557" s="25"/>
      <c r="N1557" s="27"/>
      <c r="O1557" s="27"/>
      <c r="P1557" s="27"/>
      <c r="Q1557" s="27"/>
      <c r="R1557" s="27"/>
      <c r="S1557" s="28"/>
      <c r="T1557" s="29"/>
      <c r="U1557" s="29"/>
      <c r="V1557" s="24"/>
      <c r="W1557" s="24"/>
    </row>
    <row r="1558">
      <c r="A1558" s="41"/>
      <c r="B1558" s="25"/>
      <c r="C1558" s="25"/>
      <c r="D1558" s="25"/>
      <c r="E1558" s="25"/>
      <c r="F1558" s="26"/>
      <c r="G1558" s="25"/>
      <c r="H1558" s="25"/>
      <c r="I1558" s="25"/>
      <c r="J1558" s="25"/>
      <c r="K1558" s="25"/>
      <c r="L1558" s="25"/>
      <c r="M1558" s="25"/>
      <c r="N1558" s="27"/>
      <c r="O1558" s="27"/>
      <c r="P1558" s="27"/>
      <c r="Q1558" s="27"/>
      <c r="R1558" s="27"/>
      <c r="S1558" s="28"/>
      <c r="T1558" s="29"/>
      <c r="U1558" s="29"/>
      <c r="V1558" s="24"/>
      <c r="W1558" s="24"/>
    </row>
    <row r="1559">
      <c r="A1559" s="41"/>
      <c r="B1559" s="25"/>
      <c r="C1559" s="25"/>
      <c r="D1559" s="25"/>
      <c r="E1559" s="25"/>
      <c r="F1559" s="26"/>
      <c r="G1559" s="25"/>
      <c r="H1559" s="25"/>
      <c r="I1559" s="25"/>
      <c r="J1559" s="25"/>
      <c r="K1559" s="25"/>
      <c r="L1559" s="25"/>
      <c r="M1559" s="25"/>
      <c r="N1559" s="27"/>
      <c r="O1559" s="27"/>
      <c r="P1559" s="27"/>
      <c r="Q1559" s="27"/>
      <c r="R1559" s="27"/>
      <c r="S1559" s="28"/>
      <c r="T1559" s="29"/>
      <c r="U1559" s="29"/>
      <c r="V1559" s="24"/>
      <c r="W1559" s="24"/>
    </row>
    <row r="1560">
      <c r="A1560" s="41"/>
      <c r="B1560" s="25"/>
      <c r="C1560" s="25"/>
      <c r="D1560" s="25"/>
      <c r="E1560" s="25"/>
      <c r="F1560" s="26"/>
      <c r="G1560" s="25"/>
      <c r="H1560" s="25"/>
      <c r="I1560" s="25"/>
      <c r="J1560" s="25"/>
      <c r="K1560" s="25"/>
      <c r="L1560" s="25"/>
      <c r="M1560" s="25"/>
      <c r="N1560" s="27"/>
      <c r="O1560" s="27"/>
      <c r="P1560" s="27"/>
      <c r="Q1560" s="27"/>
      <c r="R1560" s="27"/>
      <c r="S1560" s="28"/>
      <c r="T1560" s="29"/>
      <c r="U1560" s="29"/>
      <c r="V1560" s="24"/>
      <c r="W1560" s="24"/>
    </row>
    <row r="1561">
      <c r="A1561" s="41"/>
      <c r="B1561" s="25"/>
      <c r="C1561" s="25"/>
      <c r="D1561" s="25"/>
      <c r="E1561" s="25"/>
      <c r="F1561" s="26"/>
      <c r="G1561" s="25"/>
      <c r="H1561" s="25"/>
      <c r="I1561" s="25"/>
      <c r="J1561" s="25"/>
      <c r="K1561" s="25"/>
      <c r="L1561" s="25"/>
      <c r="M1561" s="25"/>
      <c r="N1561" s="27"/>
      <c r="O1561" s="27"/>
      <c r="P1561" s="27"/>
      <c r="Q1561" s="27"/>
      <c r="R1561" s="27"/>
      <c r="S1561" s="28"/>
      <c r="T1561" s="29"/>
      <c r="U1561" s="29"/>
      <c r="V1561" s="24"/>
      <c r="W1561" s="24"/>
    </row>
    <row r="1562">
      <c r="A1562" s="41"/>
      <c r="B1562" s="25"/>
      <c r="C1562" s="25"/>
      <c r="D1562" s="25"/>
      <c r="E1562" s="25"/>
      <c r="F1562" s="26"/>
      <c r="G1562" s="25"/>
      <c r="H1562" s="25"/>
      <c r="I1562" s="25"/>
      <c r="J1562" s="25"/>
      <c r="K1562" s="25"/>
      <c r="L1562" s="25"/>
      <c r="M1562" s="25"/>
      <c r="N1562" s="27"/>
      <c r="O1562" s="27"/>
      <c r="P1562" s="27"/>
      <c r="Q1562" s="27"/>
      <c r="R1562" s="27"/>
      <c r="S1562" s="28"/>
      <c r="T1562" s="29"/>
      <c r="U1562" s="29"/>
      <c r="V1562" s="24"/>
      <c r="W1562" s="24"/>
    </row>
    <row r="1563">
      <c r="A1563" s="41"/>
      <c r="B1563" s="25"/>
      <c r="C1563" s="25"/>
      <c r="D1563" s="25"/>
      <c r="E1563" s="25"/>
      <c r="F1563" s="26"/>
      <c r="G1563" s="25"/>
      <c r="H1563" s="25"/>
      <c r="I1563" s="25"/>
      <c r="J1563" s="25"/>
      <c r="K1563" s="25"/>
      <c r="L1563" s="25"/>
      <c r="M1563" s="25"/>
      <c r="N1563" s="27"/>
      <c r="O1563" s="27"/>
      <c r="P1563" s="27"/>
      <c r="Q1563" s="27"/>
      <c r="R1563" s="27"/>
      <c r="S1563" s="28"/>
      <c r="T1563" s="29"/>
      <c r="U1563" s="29"/>
      <c r="V1563" s="24"/>
      <c r="W1563" s="24"/>
    </row>
    <row r="1564">
      <c r="A1564" s="41"/>
      <c r="B1564" s="25"/>
      <c r="C1564" s="25"/>
      <c r="D1564" s="25"/>
      <c r="E1564" s="25"/>
      <c r="F1564" s="26"/>
      <c r="G1564" s="25"/>
      <c r="H1564" s="25"/>
      <c r="I1564" s="25"/>
      <c r="J1564" s="25"/>
      <c r="K1564" s="25"/>
      <c r="L1564" s="25"/>
      <c r="M1564" s="25"/>
      <c r="N1564" s="27"/>
      <c r="O1564" s="27"/>
      <c r="P1564" s="27"/>
      <c r="Q1564" s="27"/>
      <c r="R1564" s="27"/>
      <c r="S1564" s="28"/>
      <c r="T1564" s="29"/>
      <c r="U1564" s="29"/>
      <c r="V1564" s="24"/>
      <c r="W1564" s="24"/>
    </row>
    <row r="1565">
      <c r="A1565" s="41"/>
      <c r="B1565" s="25"/>
      <c r="C1565" s="25"/>
      <c r="D1565" s="25"/>
      <c r="E1565" s="25"/>
      <c r="F1565" s="26"/>
      <c r="G1565" s="25"/>
      <c r="H1565" s="25"/>
      <c r="I1565" s="25"/>
      <c r="J1565" s="25"/>
      <c r="K1565" s="25"/>
      <c r="L1565" s="25"/>
      <c r="M1565" s="25"/>
      <c r="N1565" s="27"/>
      <c r="O1565" s="27"/>
      <c r="P1565" s="27"/>
      <c r="Q1565" s="27"/>
      <c r="R1565" s="27"/>
      <c r="S1565" s="28"/>
      <c r="T1565" s="29"/>
      <c r="U1565" s="29"/>
      <c r="V1565" s="24"/>
      <c r="W1565" s="24"/>
    </row>
    <row r="1566">
      <c r="A1566" s="41"/>
      <c r="B1566" s="25"/>
      <c r="C1566" s="25"/>
      <c r="D1566" s="25"/>
      <c r="E1566" s="25"/>
      <c r="F1566" s="26"/>
      <c r="G1566" s="25"/>
      <c r="H1566" s="25"/>
      <c r="I1566" s="25"/>
      <c r="J1566" s="25"/>
      <c r="K1566" s="25"/>
      <c r="L1566" s="25"/>
      <c r="M1566" s="25"/>
      <c r="N1566" s="27"/>
      <c r="O1566" s="27"/>
      <c r="P1566" s="27"/>
      <c r="Q1566" s="27"/>
      <c r="R1566" s="27"/>
      <c r="S1566" s="28"/>
      <c r="T1566" s="29"/>
      <c r="U1566" s="29"/>
      <c r="V1566" s="24"/>
      <c r="W1566" s="24"/>
    </row>
    <row r="1567">
      <c r="A1567" s="41"/>
      <c r="B1567" s="25"/>
      <c r="C1567" s="25"/>
      <c r="D1567" s="25"/>
      <c r="E1567" s="25"/>
      <c r="F1567" s="26"/>
      <c r="G1567" s="25"/>
      <c r="H1567" s="25"/>
      <c r="I1567" s="25"/>
      <c r="J1567" s="25"/>
      <c r="K1567" s="25"/>
      <c r="L1567" s="25"/>
      <c r="M1567" s="25"/>
      <c r="N1567" s="27"/>
      <c r="O1567" s="27"/>
      <c r="P1567" s="27"/>
      <c r="Q1567" s="27"/>
      <c r="R1567" s="27"/>
      <c r="S1567" s="28"/>
      <c r="T1567" s="29"/>
      <c r="U1567" s="29"/>
      <c r="V1567" s="24"/>
      <c r="W1567" s="24"/>
    </row>
    <row r="1568">
      <c r="A1568" s="41"/>
      <c r="B1568" s="25"/>
      <c r="C1568" s="25"/>
      <c r="D1568" s="25"/>
      <c r="E1568" s="25"/>
      <c r="F1568" s="26"/>
      <c r="G1568" s="25"/>
      <c r="H1568" s="25"/>
      <c r="I1568" s="25"/>
      <c r="J1568" s="25"/>
      <c r="K1568" s="25"/>
      <c r="L1568" s="25"/>
      <c r="M1568" s="25"/>
      <c r="N1568" s="27"/>
      <c r="O1568" s="27"/>
      <c r="P1568" s="27"/>
      <c r="Q1568" s="27"/>
      <c r="R1568" s="27"/>
      <c r="S1568" s="28"/>
      <c r="T1568" s="29"/>
      <c r="U1568" s="29"/>
      <c r="V1568" s="24"/>
      <c r="W1568" s="24"/>
    </row>
    <row r="1569">
      <c r="A1569" s="41"/>
      <c r="B1569" s="25"/>
      <c r="C1569" s="25"/>
      <c r="D1569" s="25"/>
      <c r="E1569" s="25"/>
      <c r="F1569" s="26"/>
      <c r="G1569" s="25"/>
      <c r="H1569" s="25"/>
      <c r="I1569" s="25"/>
      <c r="J1569" s="25"/>
      <c r="K1569" s="25"/>
      <c r="L1569" s="25"/>
      <c r="M1569" s="25"/>
      <c r="N1569" s="27"/>
      <c r="O1569" s="27"/>
      <c r="P1569" s="27"/>
      <c r="Q1569" s="27"/>
      <c r="R1569" s="27"/>
      <c r="S1569" s="28"/>
      <c r="T1569" s="29"/>
      <c r="U1569" s="29"/>
      <c r="V1569" s="24"/>
      <c r="W1569" s="24"/>
    </row>
    <row r="1570">
      <c r="A1570" s="41"/>
      <c r="B1570" s="25"/>
      <c r="C1570" s="25"/>
      <c r="D1570" s="25"/>
      <c r="E1570" s="25"/>
      <c r="F1570" s="26"/>
      <c r="G1570" s="25"/>
      <c r="H1570" s="25"/>
      <c r="I1570" s="25"/>
      <c r="J1570" s="25"/>
      <c r="K1570" s="25"/>
      <c r="L1570" s="25"/>
      <c r="M1570" s="25"/>
      <c r="N1570" s="27"/>
      <c r="O1570" s="27"/>
      <c r="P1570" s="27"/>
      <c r="Q1570" s="27"/>
      <c r="R1570" s="27"/>
      <c r="S1570" s="28"/>
      <c r="T1570" s="29"/>
      <c r="U1570" s="29"/>
      <c r="V1570" s="24"/>
      <c r="W1570" s="24"/>
    </row>
    <row r="1571">
      <c r="A1571" s="41"/>
      <c r="B1571" s="25"/>
      <c r="C1571" s="25"/>
      <c r="D1571" s="25"/>
      <c r="E1571" s="25"/>
      <c r="F1571" s="26"/>
      <c r="G1571" s="25"/>
      <c r="H1571" s="25"/>
      <c r="I1571" s="25"/>
      <c r="J1571" s="25"/>
      <c r="K1571" s="25"/>
      <c r="L1571" s="25"/>
      <c r="M1571" s="25"/>
      <c r="N1571" s="27"/>
      <c r="O1571" s="27"/>
      <c r="P1571" s="27"/>
      <c r="Q1571" s="27"/>
      <c r="R1571" s="27"/>
      <c r="S1571" s="28"/>
      <c r="T1571" s="29"/>
      <c r="U1571" s="29"/>
      <c r="V1571" s="24"/>
      <c r="W1571" s="24"/>
    </row>
    <row r="1572">
      <c r="A1572" s="41"/>
      <c r="B1572" s="25"/>
      <c r="C1572" s="25"/>
      <c r="D1572" s="25"/>
      <c r="E1572" s="25"/>
      <c r="F1572" s="26"/>
      <c r="G1572" s="25"/>
      <c r="H1572" s="25"/>
      <c r="I1572" s="25"/>
      <c r="J1572" s="25"/>
      <c r="K1572" s="25"/>
      <c r="L1572" s="25"/>
      <c r="M1572" s="25"/>
      <c r="N1572" s="27"/>
      <c r="O1572" s="27"/>
      <c r="P1572" s="27"/>
      <c r="Q1572" s="27"/>
      <c r="R1572" s="27"/>
      <c r="S1572" s="28"/>
      <c r="T1572" s="29"/>
      <c r="U1572" s="29"/>
      <c r="V1572" s="24"/>
      <c r="W1572" s="24"/>
    </row>
    <row r="1573">
      <c r="A1573" s="41"/>
      <c r="B1573" s="25"/>
      <c r="C1573" s="25"/>
      <c r="D1573" s="25"/>
      <c r="E1573" s="25"/>
      <c r="F1573" s="26"/>
      <c r="G1573" s="25"/>
      <c r="H1573" s="25"/>
      <c r="I1573" s="25"/>
      <c r="J1573" s="25"/>
      <c r="K1573" s="25"/>
      <c r="L1573" s="25"/>
      <c r="M1573" s="25"/>
      <c r="N1573" s="27"/>
      <c r="O1573" s="27"/>
      <c r="P1573" s="27"/>
      <c r="Q1573" s="27"/>
      <c r="R1573" s="27"/>
      <c r="S1573" s="28"/>
      <c r="T1573" s="29"/>
      <c r="U1573" s="29"/>
      <c r="V1573" s="24"/>
      <c r="W1573" s="24"/>
    </row>
    <row r="1574">
      <c r="A1574" s="41"/>
      <c r="B1574" s="25"/>
      <c r="C1574" s="25"/>
      <c r="D1574" s="25"/>
      <c r="E1574" s="25"/>
      <c r="F1574" s="26"/>
      <c r="G1574" s="25"/>
      <c r="H1574" s="25"/>
      <c r="I1574" s="25"/>
      <c r="J1574" s="25"/>
      <c r="K1574" s="25"/>
      <c r="L1574" s="25"/>
      <c r="M1574" s="25"/>
      <c r="N1574" s="27"/>
      <c r="O1574" s="27"/>
      <c r="P1574" s="27"/>
      <c r="Q1574" s="27"/>
      <c r="R1574" s="27"/>
      <c r="S1574" s="28"/>
      <c r="T1574" s="29"/>
      <c r="U1574" s="29"/>
      <c r="V1574" s="24"/>
      <c r="W1574" s="24"/>
    </row>
    <row r="1575">
      <c r="A1575" s="41"/>
      <c r="B1575" s="25"/>
      <c r="C1575" s="25"/>
      <c r="D1575" s="25"/>
      <c r="E1575" s="25"/>
      <c r="F1575" s="26"/>
      <c r="G1575" s="25"/>
      <c r="H1575" s="25"/>
      <c r="I1575" s="25"/>
      <c r="J1575" s="25"/>
      <c r="K1575" s="25"/>
      <c r="L1575" s="25"/>
      <c r="M1575" s="25"/>
      <c r="N1575" s="27"/>
      <c r="O1575" s="27"/>
      <c r="P1575" s="27"/>
      <c r="Q1575" s="27"/>
      <c r="R1575" s="27"/>
      <c r="S1575" s="28"/>
      <c r="T1575" s="29"/>
      <c r="U1575" s="29"/>
      <c r="V1575" s="24"/>
      <c r="W1575" s="24"/>
    </row>
    <row r="1576">
      <c r="A1576" s="41"/>
      <c r="B1576" s="25"/>
      <c r="C1576" s="25"/>
      <c r="D1576" s="25"/>
      <c r="E1576" s="25"/>
      <c r="F1576" s="26"/>
      <c r="G1576" s="25"/>
      <c r="H1576" s="25"/>
      <c r="I1576" s="25"/>
      <c r="J1576" s="25"/>
      <c r="K1576" s="25"/>
      <c r="L1576" s="25"/>
      <c r="M1576" s="25"/>
      <c r="N1576" s="27"/>
      <c r="O1576" s="27"/>
      <c r="P1576" s="27"/>
      <c r="Q1576" s="27"/>
      <c r="R1576" s="27"/>
      <c r="S1576" s="28"/>
      <c r="T1576" s="29"/>
      <c r="U1576" s="29"/>
      <c r="V1576" s="24"/>
      <c r="W1576" s="24"/>
    </row>
    <row r="1577">
      <c r="A1577" s="41"/>
      <c r="B1577" s="25"/>
      <c r="C1577" s="25"/>
      <c r="D1577" s="25"/>
      <c r="E1577" s="25"/>
      <c r="F1577" s="26"/>
      <c r="G1577" s="25"/>
      <c r="H1577" s="25"/>
      <c r="I1577" s="25"/>
      <c r="J1577" s="25"/>
      <c r="K1577" s="25"/>
      <c r="L1577" s="25"/>
      <c r="M1577" s="25"/>
      <c r="N1577" s="27"/>
      <c r="O1577" s="27"/>
      <c r="P1577" s="27"/>
      <c r="Q1577" s="27"/>
      <c r="R1577" s="27"/>
      <c r="S1577" s="28"/>
      <c r="T1577" s="29"/>
      <c r="U1577" s="29"/>
      <c r="V1577" s="24"/>
      <c r="W1577" s="24"/>
    </row>
    <row r="1578">
      <c r="A1578" s="41"/>
      <c r="B1578" s="25"/>
      <c r="C1578" s="25"/>
      <c r="D1578" s="25"/>
      <c r="E1578" s="25"/>
      <c r="F1578" s="26"/>
      <c r="G1578" s="25"/>
      <c r="H1578" s="25"/>
      <c r="I1578" s="25"/>
      <c r="J1578" s="25"/>
      <c r="K1578" s="25"/>
      <c r="L1578" s="25"/>
      <c r="M1578" s="25"/>
      <c r="N1578" s="27"/>
      <c r="O1578" s="27"/>
      <c r="P1578" s="27"/>
      <c r="Q1578" s="27"/>
      <c r="R1578" s="27"/>
      <c r="S1578" s="28"/>
      <c r="T1578" s="29"/>
      <c r="U1578" s="29"/>
      <c r="V1578" s="24"/>
      <c r="W1578" s="24"/>
    </row>
    <row r="1579">
      <c r="A1579" s="41"/>
      <c r="B1579" s="25"/>
      <c r="C1579" s="25"/>
      <c r="D1579" s="25"/>
      <c r="E1579" s="25"/>
      <c r="F1579" s="26"/>
      <c r="G1579" s="25"/>
      <c r="H1579" s="25"/>
      <c r="I1579" s="25"/>
      <c r="J1579" s="25"/>
      <c r="K1579" s="25"/>
      <c r="L1579" s="25"/>
      <c r="M1579" s="25"/>
      <c r="N1579" s="27"/>
      <c r="O1579" s="27"/>
      <c r="P1579" s="27"/>
      <c r="Q1579" s="27"/>
      <c r="R1579" s="27"/>
      <c r="S1579" s="28"/>
      <c r="T1579" s="29"/>
      <c r="U1579" s="29"/>
      <c r="V1579" s="24"/>
      <c r="W1579" s="24"/>
    </row>
    <row r="1580">
      <c r="A1580" s="41"/>
      <c r="B1580" s="25"/>
      <c r="C1580" s="25"/>
      <c r="D1580" s="25"/>
      <c r="E1580" s="25"/>
      <c r="F1580" s="26"/>
      <c r="G1580" s="25"/>
      <c r="H1580" s="25"/>
      <c r="I1580" s="25"/>
      <c r="J1580" s="25"/>
      <c r="K1580" s="25"/>
      <c r="L1580" s="25"/>
      <c r="M1580" s="25"/>
      <c r="N1580" s="27"/>
      <c r="O1580" s="27"/>
      <c r="P1580" s="27"/>
      <c r="Q1580" s="27"/>
      <c r="R1580" s="27"/>
      <c r="S1580" s="28"/>
      <c r="T1580" s="29"/>
      <c r="U1580" s="29"/>
      <c r="V1580" s="24"/>
      <c r="W1580" s="24"/>
    </row>
    <row r="1581">
      <c r="A1581" s="41"/>
      <c r="B1581" s="25"/>
      <c r="C1581" s="25"/>
      <c r="D1581" s="25"/>
      <c r="E1581" s="25"/>
      <c r="F1581" s="26"/>
      <c r="G1581" s="25"/>
      <c r="H1581" s="25"/>
      <c r="I1581" s="25"/>
      <c r="J1581" s="25"/>
      <c r="K1581" s="25"/>
      <c r="L1581" s="25"/>
      <c r="M1581" s="25"/>
      <c r="N1581" s="27"/>
      <c r="O1581" s="27"/>
      <c r="P1581" s="27"/>
      <c r="Q1581" s="27"/>
      <c r="R1581" s="27"/>
      <c r="S1581" s="28"/>
      <c r="T1581" s="29"/>
      <c r="U1581" s="29"/>
      <c r="V1581" s="24"/>
      <c r="W1581" s="24"/>
    </row>
    <row r="1582">
      <c r="A1582" s="41"/>
      <c r="B1582" s="25"/>
      <c r="C1582" s="25"/>
      <c r="D1582" s="25"/>
      <c r="E1582" s="25"/>
      <c r="F1582" s="26"/>
      <c r="G1582" s="25"/>
      <c r="H1582" s="25"/>
      <c r="I1582" s="25"/>
      <c r="J1582" s="25"/>
      <c r="K1582" s="25"/>
      <c r="L1582" s="25"/>
      <c r="M1582" s="25"/>
      <c r="N1582" s="27"/>
      <c r="O1582" s="27"/>
      <c r="P1582" s="27"/>
      <c r="Q1582" s="27"/>
      <c r="R1582" s="27"/>
      <c r="S1582" s="28"/>
      <c r="T1582" s="29"/>
      <c r="U1582" s="29"/>
      <c r="V1582" s="24"/>
      <c r="W1582" s="24"/>
    </row>
    <row r="1583">
      <c r="A1583" s="41"/>
      <c r="B1583" s="25"/>
      <c r="C1583" s="25"/>
      <c r="D1583" s="25"/>
      <c r="E1583" s="25"/>
      <c r="F1583" s="26"/>
      <c r="G1583" s="25"/>
      <c r="H1583" s="25"/>
      <c r="I1583" s="25"/>
      <c r="J1583" s="25"/>
      <c r="K1583" s="25"/>
      <c r="L1583" s="25"/>
      <c r="M1583" s="25"/>
      <c r="N1583" s="27"/>
      <c r="O1583" s="27"/>
      <c r="P1583" s="27"/>
      <c r="Q1583" s="27"/>
      <c r="R1583" s="27"/>
      <c r="S1583" s="28"/>
      <c r="T1583" s="29"/>
      <c r="U1583" s="29"/>
      <c r="V1583" s="24"/>
      <c r="W1583" s="24"/>
    </row>
    <row r="1584">
      <c r="A1584" s="41"/>
      <c r="B1584" s="25"/>
      <c r="C1584" s="25"/>
      <c r="D1584" s="25"/>
      <c r="E1584" s="25"/>
      <c r="F1584" s="26"/>
      <c r="G1584" s="25"/>
      <c r="H1584" s="25"/>
      <c r="I1584" s="25"/>
      <c r="J1584" s="25"/>
      <c r="K1584" s="25"/>
      <c r="L1584" s="25"/>
      <c r="M1584" s="25"/>
      <c r="N1584" s="27"/>
      <c r="O1584" s="27"/>
      <c r="P1584" s="27"/>
      <c r="Q1584" s="27"/>
      <c r="R1584" s="27"/>
      <c r="S1584" s="28"/>
      <c r="T1584" s="29"/>
      <c r="U1584" s="29"/>
      <c r="V1584" s="24"/>
      <c r="W1584" s="24"/>
    </row>
    <row r="1585">
      <c r="A1585" s="41"/>
      <c r="B1585" s="25"/>
      <c r="C1585" s="25"/>
      <c r="D1585" s="25"/>
      <c r="E1585" s="25"/>
      <c r="F1585" s="26"/>
      <c r="G1585" s="25"/>
      <c r="H1585" s="25"/>
      <c r="I1585" s="25"/>
      <c r="J1585" s="25"/>
      <c r="K1585" s="25"/>
      <c r="L1585" s="25"/>
      <c r="M1585" s="25"/>
      <c r="N1585" s="27"/>
      <c r="O1585" s="27"/>
      <c r="P1585" s="27"/>
      <c r="Q1585" s="27"/>
      <c r="R1585" s="27"/>
      <c r="S1585" s="28"/>
      <c r="T1585" s="29"/>
      <c r="U1585" s="29"/>
      <c r="V1585" s="24"/>
      <c r="W1585" s="24"/>
    </row>
    <row r="1586">
      <c r="A1586" s="41"/>
      <c r="B1586" s="25"/>
      <c r="C1586" s="25"/>
      <c r="D1586" s="25"/>
      <c r="E1586" s="25"/>
      <c r="F1586" s="26"/>
      <c r="G1586" s="25"/>
      <c r="H1586" s="25"/>
      <c r="I1586" s="25"/>
      <c r="J1586" s="25"/>
      <c r="K1586" s="25"/>
      <c r="L1586" s="25"/>
      <c r="M1586" s="25"/>
      <c r="N1586" s="27"/>
      <c r="O1586" s="27"/>
      <c r="P1586" s="27"/>
      <c r="Q1586" s="27"/>
      <c r="R1586" s="27"/>
      <c r="S1586" s="28"/>
      <c r="T1586" s="29"/>
      <c r="U1586" s="29"/>
      <c r="V1586" s="24"/>
      <c r="W1586" s="24"/>
    </row>
    <row r="1587">
      <c r="A1587" s="41"/>
      <c r="B1587" s="25"/>
      <c r="C1587" s="25"/>
      <c r="D1587" s="25"/>
      <c r="E1587" s="25"/>
      <c r="F1587" s="26"/>
      <c r="G1587" s="25"/>
      <c r="H1587" s="25"/>
      <c r="I1587" s="25"/>
      <c r="J1587" s="25"/>
      <c r="K1587" s="25"/>
      <c r="L1587" s="25"/>
      <c r="M1587" s="25"/>
      <c r="N1587" s="27"/>
      <c r="O1587" s="27"/>
      <c r="P1587" s="27"/>
      <c r="Q1587" s="27"/>
      <c r="R1587" s="27"/>
      <c r="S1587" s="28"/>
      <c r="T1587" s="29"/>
      <c r="U1587" s="29"/>
      <c r="V1587" s="24"/>
      <c r="W1587" s="24"/>
    </row>
    <row r="1588">
      <c r="A1588" s="41"/>
      <c r="B1588" s="25"/>
      <c r="C1588" s="25"/>
      <c r="D1588" s="25"/>
      <c r="E1588" s="25"/>
      <c r="F1588" s="26"/>
      <c r="G1588" s="25"/>
      <c r="H1588" s="25"/>
      <c r="I1588" s="25"/>
      <c r="J1588" s="25"/>
      <c r="K1588" s="25"/>
      <c r="L1588" s="25"/>
      <c r="M1588" s="25"/>
      <c r="N1588" s="27"/>
      <c r="O1588" s="27"/>
      <c r="P1588" s="27"/>
      <c r="Q1588" s="27"/>
      <c r="R1588" s="27"/>
      <c r="S1588" s="28"/>
      <c r="T1588" s="29"/>
      <c r="U1588" s="29"/>
      <c r="V1588" s="24"/>
      <c r="W1588" s="24"/>
    </row>
    <row r="1589">
      <c r="A1589" s="41"/>
      <c r="B1589" s="25"/>
      <c r="C1589" s="25"/>
      <c r="D1589" s="25"/>
      <c r="E1589" s="25"/>
      <c r="F1589" s="26"/>
      <c r="G1589" s="25"/>
      <c r="H1589" s="25"/>
      <c r="I1589" s="25"/>
      <c r="J1589" s="25"/>
      <c r="K1589" s="25"/>
      <c r="L1589" s="25"/>
      <c r="M1589" s="25"/>
      <c r="N1589" s="27"/>
      <c r="O1589" s="27"/>
      <c r="P1589" s="27"/>
      <c r="Q1589" s="27"/>
      <c r="R1589" s="27"/>
      <c r="S1589" s="28"/>
      <c r="T1589" s="29"/>
      <c r="U1589" s="29"/>
      <c r="V1589" s="24"/>
      <c r="W1589" s="24"/>
    </row>
    <row r="1590">
      <c r="A1590" s="41"/>
      <c r="B1590" s="25"/>
      <c r="C1590" s="25"/>
      <c r="D1590" s="25"/>
      <c r="E1590" s="25"/>
      <c r="F1590" s="26"/>
      <c r="G1590" s="25"/>
      <c r="H1590" s="25"/>
      <c r="I1590" s="25"/>
      <c r="J1590" s="25"/>
      <c r="K1590" s="25"/>
      <c r="L1590" s="25"/>
      <c r="M1590" s="25"/>
      <c r="N1590" s="27"/>
      <c r="O1590" s="27"/>
      <c r="P1590" s="27"/>
      <c r="Q1590" s="27"/>
      <c r="R1590" s="27"/>
      <c r="S1590" s="28"/>
      <c r="T1590" s="29"/>
      <c r="U1590" s="29"/>
      <c r="V1590" s="24"/>
      <c r="W1590" s="24"/>
    </row>
    <row r="1591">
      <c r="A1591" s="41"/>
      <c r="B1591" s="25"/>
      <c r="C1591" s="25"/>
      <c r="D1591" s="25"/>
      <c r="E1591" s="25"/>
      <c r="F1591" s="26"/>
      <c r="G1591" s="25"/>
      <c r="H1591" s="25"/>
      <c r="I1591" s="25"/>
      <c r="J1591" s="25"/>
      <c r="K1591" s="25"/>
      <c r="L1591" s="25"/>
      <c r="M1591" s="25"/>
      <c r="N1591" s="27"/>
      <c r="O1591" s="27"/>
      <c r="P1591" s="27"/>
      <c r="Q1591" s="27"/>
      <c r="R1591" s="27"/>
      <c r="S1591" s="28"/>
      <c r="T1591" s="29"/>
      <c r="U1591" s="29"/>
      <c r="V1591" s="24"/>
      <c r="W1591" s="24"/>
    </row>
    <row r="1592">
      <c r="A1592" s="41"/>
      <c r="B1592" s="25"/>
      <c r="C1592" s="25"/>
      <c r="D1592" s="25"/>
      <c r="E1592" s="25"/>
      <c r="F1592" s="26"/>
      <c r="G1592" s="25"/>
      <c r="H1592" s="25"/>
      <c r="I1592" s="25"/>
      <c r="J1592" s="25"/>
      <c r="K1592" s="25"/>
      <c r="L1592" s="25"/>
      <c r="M1592" s="25"/>
      <c r="N1592" s="27"/>
      <c r="O1592" s="27"/>
      <c r="P1592" s="27"/>
      <c r="Q1592" s="27"/>
      <c r="R1592" s="27"/>
      <c r="S1592" s="28"/>
      <c r="T1592" s="29"/>
      <c r="U1592" s="29"/>
      <c r="V1592" s="24"/>
      <c r="W1592" s="24"/>
    </row>
    <row r="1593">
      <c r="A1593" s="41"/>
      <c r="B1593" s="25"/>
      <c r="C1593" s="25"/>
      <c r="D1593" s="25"/>
      <c r="E1593" s="25"/>
      <c r="F1593" s="26"/>
      <c r="G1593" s="25"/>
      <c r="H1593" s="25"/>
      <c r="I1593" s="25"/>
      <c r="J1593" s="25"/>
      <c r="K1593" s="25"/>
      <c r="L1593" s="25"/>
      <c r="M1593" s="25"/>
      <c r="N1593" s="27"/>
      <c r="O1593" s="27"/>
      <c r="P1593" s="27"/>
      <c r="Q1593" s="27"/>
      <c r="R1593" s="27"/>
      <c r="S1593" s="28"/>
      <c r="T1593" s="29"/>
      <c r="U1593" s="29"/>
      <c r="V1593" s="24"/>
      <c r="W1593" s="24"/>
    </row>
    <row r="1594">
      <c r="A1594" s="41"/>
      <c r="B1594" s="25"/>
      <c r="C1594" s="25"/>
      <c r="D1594" s="25"/>
      <c r="E1594" s="25"/>
      <c r="F1594" s="26"/>
      <c r="G1594" s="25"/>
      <c r="H1594" s="25"/>
      <c r="I1594" s="25"/>
      <c r="J1594" s="25"/>
      <c r="K1594" s="25"/>
      <c r="L1594" s="25"/>
      <c r="M1594" s="25"/>
      <c r="N1594" s="27"/>
      <c r="O1594" s="27"/>
      <c r="P1594" s="27"/>
      <c r="Q1594" s="27"/>
      <c r="R1594" s="27"/>
      <c r="S1594" s="28"/>
      <c r="T1594" s="29"/>
      <c r="U1594" s="29"/>
      <c r="V1594" s="24"/>
      <c r="W1594" s="24"/>
    </row>
    <row r="1595">
      <c r="A1595" s="41"/>
      <c r="B1595" s="25"/>
      <c r="C1595" s="25"/>
      <c r="D1595" s="25"/>
      <c r="E1595" s="25"/>
      <c r="F1595" s="26"/>
      <c r="G1595" s="25"/>
      <c r="H1595" s="25"/>
      <c r="I1595" s="25"/>
      <c r="J1595" s="25"/>
      <c r="K1595" s="25"/>
      <c r="L1595" s="25"/>
      <c r="M1595" s="25"/>
      <c r="N1595" s="27"/>
      <c r="O1595" s="27"/>
      <c r="P1595" s="27"/>
      <c r="Q1595" s="27"/>
      <c r="R1595" s="27"/>
      <c r="S1595" s="28"/>
      <c r="T1595" s="29"/>
      <c r="U1595" s="29"/>
      <c r="V1595" s="24"/>
      <c r="W1595" s="24"/>
    </row>
    <row r="1596">
      <c r="A1596" s="41"/>
      <c r="B1596" s="25"/>
      <c r="C1596" s="25"/>
      <c r="D1596" s="25"/>
      <c r="E1596" s="25"/>
      <c r="F1596" s="26"/>
      <c r="G1596" s="25"/>
      <c r="H1596" s="25"/>
      <c r="I1596" s="25"/>
      <c r="J1596" s="25"/>
      <c r="K1596" s="25"/>
      <c r="L1596" s="25"/>
      <c r="M1596" s="25"/>
      <c r="N1596" s="27"/>
      <c r="O1596" s="27"/>
      <c r="P1596" s="27"/>
      <c r="Q1596" s="27"/>
      <c r="R1596" s="27"/>
      <c r="S1596" s="28"/>
      <c r="T1596" s="29"/>
      <c r="U1596" s="29"/>
      <c r="V1596" s="24"/>
      <c r="W1596" s="24"/>
    </row>
    <row r="1597">
      <c r="A1597" s="41"/>
      <c r="B1597" s="25"/>
      <c r="C1597" s="25"/>
      <c r="D1597" s="25"/>
      <c r="E1597" s="25"/>
      <c r="F1597" s="26"/>
      <c r="G1597" s="25"/>
      <c r="H1597" s="25"/>
      <c r="I1597" s="25"/>
      <c r="J1597" s="25"/>
      <c r="K1597" s="25"/>
      <c r="L1597" s="25"/>
      <c r="M1597" s="25"/>
      <c r="N1597" s="27"/>
      <c r="O1597" s="27"/>
      <c r="P1597" s="27"/>
      <c r="Q1597" s="27"/>
      <c r="R1597" s="27"/>
      <c r="S1597" s="28"/>
      <c r="T1597" s="29"/>
      <c r="U1597" s="29"/>
      <c r="V1597" s="24"/>
      <c r="W1597" s="24"/>
    </row>
    <row r="1598">
      <c r="A1598" s="41"/>
      <c r="B1598" s="25"/>
      <c r="C1598" s="25"/>
      <c r="D1598" s="25"/>
      <c r="E1598" s="25"/>
      <c r="F1598" s="26"/>
      <c r="G1598" s="25"/>
      <c r="H1598" s="25"/>
      <c r="I1598" s="25"/>
      <c r="J1598" s="25"/>
      <c r="K1598" s="25"/>
      <c r="L1598" s="25"/>
      <c r="M1598" s="25"/>
      <c r="N1598" s="27"/>
      <c r="O1598" s="27"/>
      <c r="P1598" s="27"/>
      <c r="Q1598" s="27"/>
      <c r="R1598" s="27"/>
      <c r="S1598" s="28"/>
      <c r="T1598" s="29"/>
      <c r="U1598" s="29"/>
      <c r="V1598" s="24"/>
      <c r="W1598" s="24"/>
    </row>
    <row r="1599">
      <c r="A1599" s="41"/>
      <c r="B1599" s="25"/>
      <c r="C1599" s="25"/>
      <c r="D1599" s="25"/>
      <c r="E1599" s="25"/>
      <c r="F1599" s="26"/>
      <c r="G1599" s="25"/>
      <c r="H1599" s="25"/>
      <c r="I1599" s="25"/>
      <c r="J1599" s="25"/>
      <c r="K1599" s="25"/>
      <c r="L1599" s="25"/>
      <c r="M1599" s="25"/>
      <c r="N1599" s="27"/>
      <c r="O1599" s="27"/>
      <c r="P1599" s="27"/>
      <c r="Q1599" s="27"/>
      <c r="R1599" s="27"/>
      <c r="S1599" s="28"/>
      <c r="T1599" s="29"/>
      <c r="U1599" s="29"/>
      <c r="V1599" s="24"/>
      <c r="W1599" s="24"/>
    </row>
    <row r="1600">
      <c r="A1600" s="41"/>
      <c r="B1600" s="25"/>
      <c r="C1600" s="25"/>
      <c r="D1600" s="25"/>
      <c r="E1600" s="25"/>
      <c r="F1600" s="26"/>
      <c r="G1600" s="25"/>
      <c r="H1600" s="25"/>
      <c r="I1600" s="25"/>
      <c r="J1600" s="25"/>
      <c r="K1600" s="25"/>
      <c r="L1600" s="25"/>
      <c r="M1600" s="25"/>
      <c r="N1600" s="27"/>
      <c r="O1600" s="27"/>
      <c r="P1600" s="27"/>
      <c r="Q1600" s="27"/>
      <c r="R1600" s="27"/>
      <c r="S1600" s="28"/>
      <c r="T1600" s="29"/>
      <c r="U1600" s="29"/>
      <c r="V1600" s="24"/>
      <c r="W1600" s="24"/>
    </row>
    <row r="1601">
      <c r="A1601" s="41"/>
      <c r="B1601" s="25"/>
      <c r="C1601" s="25"/>
      <c r="D1601" s="25"/>
      <c r="E1601" s="25"/>
      <c r="F1601" s="26"/>
      <c r="G1601" s="25"/>
      <c r="H1601" s="25"/>
      <c r="I1601" s="25"/>
      <c r="J1601" s="25"/>
      <c r="K1601" s="25"/>
      <c r="L1601" s="25"/>
      <c r="M1601" s="25"/>
      <c r="N1601" s="27"/>
      <c r="O1601" s="27"/>
      <c r="P1601" s="27"/>
      <c r="Q1601" s="27"/>
      <c r="R1601" s="27"/>
      <c r="S1601" s="28"/>
      <c r="T1601" s="29"/>
      <c r="U1601" s="29"/>
      <c r="V1601" s="24"/>
      <c r="W1601" s="24"/>
    </row>
    <row r="1602">
      <c r="A1602" s="41"/>
      <c r="B1602" s="25"/>
      <c r="C1602" s="25"/>
      <c r="D1602" s="25"/>
      <c r="E1602" s="25"/>
      <c r="F1602" s="26"/>
      <c r="G1602" s="25"/>
      <c r="H1602" s="25"/>
      <c r="I1602" s="25"/>
      <c r="J1602" s="25"/>
      <c r="K1602" s="25"/>
      <c r="L1602" s="25"/>
      <c r="M1602" s="25"/>
      <c r="N1602" s="27"/>
      <c r="O1602" s="27"/>
      <c r="P1602" s="27"/>
      <c r="Q1602" s="27"/>
      <c r="R1602" s="27"/>
      <c r="S1602" s="28"/>
      <c r="T1602" s="29"/>
      <c r="U1602" s="29"/>
      <c r="V1602" s="24"/>
      <c r="W1602" s="24"/>
    </row>
    <row r="1603">
      <c r="A1603" s="41"/>
      <c r="B1603" s="25"/>
      <c r="C1603" s="25"/>
      <c r="D1603" s="25"/>
      <c r="E1603" s="25"/>
      <c r="F1603" s="26"/>
      <c r="G1603" s="25"/>
      <c r="H1603" s="25"/>
      <c r="I1603" s="25"/>
      <c r="J1603" s="25"/>
      <c r="K1603" s="25"/>
      <c r="L1603" s="25"/>
      <c r="M1603" s="25"/>
      <c r="N1603" s="27"/>
      <c r="O1603" s="27"/>
      <c r="P1603" s="27"/>
      <c r="Q1603" s="27"/>
      <c r="R1603" s="27"/>
      <c r="S1603" s="28"/>
      <c r="T1603" s="29"/>
      <c r="U1603" s="29"/>
      <c r="V1603" s="24"/>
      <c r="W1603" s="24"/>
    </row>
    <row r="1604">
      <c r="A1604" s="41"/>
      <c r="B1604" s="25"/>
      <c r="C1604" s="25"/>
      <c r="D1604" s="25"/>
      <c r="E1604" s="25"/>
      <c r="F1604" s="26"/>
      <c r="G1604" s="25"/>
      <c r="H1604" s="25"/>
      <c r="I1604" s="25"/>
      <c r="J1604" s="25"/>
      <c r="K1604" s="25"/>
      <c r="L1604" s="25"/>
      <c r="M1604" s="25"/>
      <c r="N1604" s="27"/>
      <c r="O1604" s="27"/>
      <c r="P1604" s="27"/>
      <c r="Q1604" s="27"/>
      <c r="R1604" s="27"/>
      <c r="S1604" s="28"/>
      <c r="T1604" s="29"/>
      <c r="U1604" s="29"/>
      <c r="V1604" s="24"/>
      <c r="W1604" s="24"/>
    </row>
    <row r="1605">
      <c r="A1605" s="41"/>
      <c r="B1605" s="25"/>
      <c r="C1605" s="25"/>
      <c r="D1605" s="25"/>
      <c r="E1605" s="25"/>
      <c r="F1605" s="26"/>
      <c r="G1605" s="25"/>
      <c r="H1605" s="25"/>
      <c r="I1605" s="25"/>
      <c r="J1605" s="25"/>
      <c r="K1605" s="25"/>
      <c r="L1605" s="25"/>
      <c r="M1605" s="25"/>
      <c r="N1605" s="27"/>
      <c r="O1605" s="27"/>
      <c r="P1605" s="27"/>
      <c r="Q1605" s="27"/>
      <c r="R1605" s="27"/>
      <c r="S1605" s="28"/>
      <c r="T1605" s="29"/>
      <c r="U1605" s="29"/>
      <c r="V1605" s="24"/>
      <c r="W1605" s="24"/>
    </row>
    <row r="1606">
      <c r="A1606" s="41"/>
      <c r="B1606" s="25"/>
      <c r="C1606" s="25"/>
      <c r="D1606" s="25"/>
      <c r="E1606" s="25"/>
      <c r="F1606" s="26"/>
      <c r="G1606" s="25"/>
      <c r="H1606" s="25"/>
      <c r="I1606" s="25"/>
      <c r="J1606" s="25"/>
      <c r="K1606" s="25"/>
      <c r="L1606" s="25"/>
      <c r="M1606" s="25"/>
      <c r="N1606" s="27"/>
      <c r="O1606" s="27"/>
      <c r="P1606" s="27"/>
      <c r="Q1606" s="27"/>
      <c r="R1606" s="27"/>
      <c r="S1606" s="28"/>
      <c r="T1606" s="29"/>
      <c r="U1606" s="29"/>
      <c r="V1606" s="24"/>
      <c r="W1606" s="24"/>
    </row>
    <row r="1607">
      <c r="A1607" s="41"/>
      <c r="B1607" s="25"/>
      <c r="C1607" s="25"/>
      <c r="D1607" s="25"/>
      <c r="E1607" s="25"/>
      <c r="F1607" s="26"/>
      <c r="G1607" s="25"/>
      <c r="H1607" s="25"/>
      <c r="I1607" s="25"/>
      <c r="J1607" s="25"/>
      <c r="K1607" s="25"/>
      <c r="L1607" s="25"/>
      <c r="M1607" s="25"/>
      <c r="N1607" s="27"/>
      <c r="O1607" s="27"/>
      <c r="P1607" s="27"/>
      <c r="Q1607" s="27"/>
      <c r="R1607" s="27"/>
      <c r="S1607" s="28"/>
      <c r="T1607" s="29"/>
      <c r="U1607" s="29"/>
      <c r="V1607" s="24"/>
      <c r="W1607" s="24"/>
    </row>
    <row r="1608">
      <c r="A1608" s="41"/>
      <c r="B1608" s="25"/>
      <c r="C1608" s="25"/>
      <c r="D1608" s="25"/>
      <c r="E1608" s="25"/>
      <c r="F1608" s="26"/>
      <c r="G1608" s="25"/>
      <c r="H1608" s="25"/>
      <c r="I1608" s="25"/>
      <c r="J1608" s="25"/>
      <c r="K1608" s="25"/>
      <c r="L1608" s="25"/>
      <c r="M1608" s="25"/>
      <c r="N1608" s="27"/>
      <c r="O1608" s="27"/>
      <c r="P1608" s="27"/>
      <c r="Q1608" s="27"/>
      <c r="R1608" s="27"/>
      <c r="S1608" s="28"/>
      <c r="T1608" s="29"/>
      <c r="U1608" s="29"/>
      <c r="V1608" s="24"/>
      <c r="W1608" s="24"/>
    </row>
    <row r="1609">
      <c r="A1609" s="41"/>
      <c r="B1609" s="25"/>
      <c r="C1609" s="25"/>
      <c r="D1609" s="25"/>
      <c r="E1609" s="25"/>
      <c r="F1609" s="26"/>
      <c r="G1609" s="25"/>
      <c r="H1609" s="25"/>
      <c r="I1609" s="25"/>
      <c r="J1609" s="25"/>
      <c r="K1609" s="25"/>
      <c r="L1609" s="25"/>
      <c r="M1609" s="25"/>
      <c r="N1609" s="27"/>
      <c r="O1609" s="27"/>
      <c r="P1609" s="27"/>
      <c r="Q1609" s="27"/>
      <c r="R1609" s="27"/>
      <c r="S1609" s="28"/>
      <c r="T1609" s="29"/>
      <c r="U1609" s="29"/>
      <c r="V1609" s="24"/>
      <c r="W1609" s="24"/>
    </row>
    <row r="1610">
      <c r="A1610" s="41"/>
      <c r="B1610" s="25"/>
      <c r="C1610" s="25"/>
      <c r="D1610" s="25"/>
      <c r="E1610" s="25"/>
      <c r="F1610" s="26"/>
      <c r="G1610" s="25"/>
      <c r="H1610" s="25"/>
      <c r="I1610" s="25"/>
      <c r="J1610" s="25"/>
      <c r="K1610" s="25"/>
      <c r="L1610" s="25"/>
      <c r="M1610" s="25"/>
      <c r="N1610" s="27"/>
      <c r="O1610" s="27"/>
      <c r="P1610" s="27"/>
      <c r="Q1610" s="27"/>
      <c r="R1610" s="27"/>
      <c r="S1610" s="28"/>
      <c r="T1610" s="29"/>
      <c r="U1610" s="29"/>
      <c r="V1610" s="24"/>
      <c r="W1610" s="24"/>
    </row>
    <row r="1611">
      <c r="A1611" s="41"/>
      <c r="B1611" s="25"/>
      <c r="C1611" s="25"/>
      <c r="D1611" s="25"/>
      <c r="E1611" s="25"/>
      <c r="F1611" s="26"/>
      <c r="G1611" s="25"/>
      <c r="H1611" s="25"/>
      <c r="I1611" s="25"/>
      <c r="J1611" s="25"/>
      <c r="K1611" s="25"/>
      <c r="L1611" s="25"/>
      <c r="M1611" s="25"/>
      <c r="N1611" s="27"/>
      <c r="O1611" s="27"/>
      <c r="P1611" s="27"/>
      <c r="Q1611" s="27"/>
      <c r="R1611" s="27"/>
      <c r="S1611" s="28"/>
      <c r="T1611" s="29"/>
      <c r="U1611" s="29"/>
      <c r="V1611" s="24"/>
      <c r="W1611" s="24"/>
    </row>
    <row r="1612">
      <c r="A1612" s="41"/>
      <c r="B1612" s="25"/>
      <c r="C1612" s="25"/>
      <c r="D1612" s="25"/>
      <c r="E1612" s="25"/>
      <c r="F1612" s="26"/>
      <c r="G1612" s="25"/>
      <c r="H1612" s="25"/>
      <c r="I1612" s="25"/>
      <c r="J1612" s="25"/>
      <c r="K1612" s="25"/>
      <c r="L1612" s="25"/>
      <c r="M1612" s="25"/>
      <c r="N1612" s="27"/>
      <c r="O1612" s="27"/>
      <c r="P1612" s="27"/>
      <c r="Q1612" s="27"/>
      <c r="R1612" s="27"/>
      <c r="S1612" s="28"/>
      <c r="T1612" s="29"/>
      <c r="U1612" s="29"/>
      <c r="V1612" s="24"/>
      <c r="W1612" s="24"/>
    </row>
    <row r="1613">
      <c r="A1613" s="41"/>
      <c r="B1613" s="25"/>
      <c r="C1613" s="25"/>
      <c r="D1613" s="25"/>
      <c r="E1613" s="25"/>
      <c r="F1613" s="26"/>
      <c r="G1613" s="25"/>
      <c r="H1613" s="25"/>
      <c r="I1613" s="25"/>
      <c r="J1613" s="25"/>
      <c r="K1613" s="25"/>
      <c r="L1613" s="25"/>
      <c r="M1613" s="25"/>
      <c r="N1613" s="27"/>
      <c r="O1613" s="27"/>
      <c r="P1613" s="27"/>
      <c r="Q1613" s="27"/>
      <c r="R1613" s="27"/>
      <c r="S1613" s="28"/>
      <c r="T1613" s="29"/>
      <c r="U1613" s="29"/>
      <c r="V1613" s="24"/>
      <c r="W1613" s="24"/>
    </row>
    <row r="1614">
      <c r="A1614" s="41"/>
      <c r="B1614" s="25"/>
      <c r="C1614" s="25"/>
      <c r="D1614" s="25"/>
      <c r="E1614" s="25"/>
      <c r="F1614" s="26"/>
      <c r="G1614" s="25"/>
      <c r="H1614" s="25"/>
      <c r="I1614" s="25"/>
      <c r="J1614" s="25"/>
      <c r="K1614" s="25"/>
      <c r="L1614" s="25"/>
      <c r="M1614" s="25"/>
      <c r="N1614" s="27"/>
      <c r="O1614" s="27"/>
      <c r="P1614" s="27"/>
      <c r="Q1614" s="27"/>
      <c r="R1614" s="27"/>
      <c r="S1614" s="28"/>
      <c r="T1614" s="29"/>
      <c r="U1614" s="29"/>
      <c r="V1614" s="24"/>
      <c r="W1614" s="24"/>
    </row>
    <row r="1615">
      <c r="A1615" s="41"/>
      <c r="B1615" s="25"/>
      <c r="C1615" s="25"/>
      <c r="D1615" s="25"/>
      <c r="E1615" s="25"/>
      <c r="F1615" s="26"/>
      <c r="G1615" s="25"/>
      <c r="H1615" s="25"/>
      <c r="I1615" s="25"/>
      <c r="J1615" s="25"/>
      <c r="K1615" s="25"/>
      <c r="L1615" s="25"/>
      <c r="M1615" s="25"/>
      <c r="N1615" s="27"/>
      <c r="O1615" s="27"/>
      <c r="P1615" s="27"/>
      <c r="Q1615" s="27"/>
      <c r="R1615" s="27"/>
      <c r="S1615" s="28"/>
      <c r="T1615" s="29"/>
      <c r="U1615" s="29"/>
      <c r="V1615" s="24"/>
      <c r="W1615" s="24"/>
    </row>
    <row r="1616">
      <c r="A1616" s="41"/>
      <c r="B1616" s="25"/>
      <c r="C1616" s="25"/>
      <c r="D1616" s="25"/>
      <c r="E1616" s="25"/>
      <c r="F1616" s="26"/>
      <c r="G1616" s="25"/>
      <c r="H1616" s="25"/>
      <c r="I1616" s="25"/>
      <c r="J1616" s="25"/>
      <c r="K1616" s="25"/>
      <c r="L1616" s="25"/>
      <c r="M1616" s="25"/>
      <c r="N1616" s="27"/>
      <c r="O1616" s="27"/>
      <c r="P1616" s="27"/>
      <c r="Q1616" s="27"/>
      <c r="R1616" s="27"/>
      <c r="S1616" s="28"/>
      <c r="T1616" s="29"/>
      <c r="U1616" s="29"/>
      <c r="V1616" s="24"/>
      <c r="W1616" s="24"/>
    </row>
    <row r="1617">
      <c r="A1617" s="41"/>
      <c r="B1617" s="25"/>
      <c r="C1617" s="25"/>
      <c r="D1617" s="25"/>
      <c r="E1617" s="25"/>
      <c r="F1617" s="26"/>
      <c r="G1617" s="25"/>
      <c r="H1617" s="25"/>
      <c r="I1617" s="25"/>
      <c r="J1617" s="25"/>
      <c r="K1617" s="25"/>
      <c r="L1617" s="25"/>
      <c r="M1617" s="25"/>
      <c r="N1617" s="27"/>
      <c r="O1617" s="27"/>
      <c r="P1617" s="27"/>
      <c r="Q1617" s="27"/>
      <c r="R1617" s="27"/>
      <c r="S1617" s="28"/>
      <c r="T1617" s="29"/>
      <c r="U1617" s="29"/>
      <c r="V1617" s="24"/>
      <c r="W1617" s="24"/>
    </row>
    <row r="1618">
      <c r="A1618" s="41"/>
      <c r="B1618" s="25"/>
      <c r="C1618" s="25"/>
      <c r="D1618" s="25"/>
      <c r="E1618" s="25"/>
      <c r="F1618" s="26"/>
      <c r="G1618" s="25"/>
      <c r="H1618" s="25"/>
      <c r="I1618" s="25"/>
      <c r="J1618" s="25"/>
      <c r="K1618" s="25"/>
      <c r="L1618" s="25"/>
      <c r="M1618" s="25"/>
      <c r="N1618" s="27"/>
      <c r="O1618" s="27"/>
      <c r="P1618" s="27"/>
      <c r="Q1618" s="27"/>
      <c r="R1618" s="27"/>
      <c r="S1618" s="28"/>
      <c r="T1618" s="29"/>
      <c r="U1618" s="29"/>
      <c r="V1618" s="24"/>
      <c r="W1618" s="24"/>
    </row>
    <row r="1619">
      <c r="A1619" s="41"/>
      <c r="B1619" s="25"/>
      <c r="C1619" s="25"/>
      <c r="D1619" s="25"/>
      <c r="E1619" s="25"/>
      <c r="F1619" s="26"/>
      <c r="G1619" s="25"/>
      <c r="H1619" s="25"/>
      <c r="I1619" s="25"/>
      <c r="J1619" s="25"/>
      <c r="K1619" s="25"/>
      <c r="L1619" s="25"/>
      <c r="M1619" s="25"/>
      <c r="N1619" s="27"/>
      <c r="O1619" s="27"/>
      <c r="P1619" s="27"/>
      <c r="Q1619" s="27"/>
      <c r="R1619" s="27"/>
      <c r="S1619" s="28"/>
      <c r="T1619" s="29"/>
      <c r="U1619" s="29"/>
      <c r="V1619" s="24"/>
      <c r="W1619" s="24"/>
    </row>
    <row r="1620">
      <c r="A1620" s="41"/>
      <c r="B1620" s="25"/>
      <c r="C1620" s="25"/>
      <c r="D1620" s="25"/>
      <c r="E1620" s="25"/>
      <c r="F1620" s="26"/>
      <c r="G1620" s="25"/>
      <c r="H1620" s="25"/>
      <c r="I1620" s="25"/>
      <c r="J1620" s="25"/>
      <c r="K1620" s="25"/>
      <c r="L1620" s="25"/>
      <c r="M1620" s="25"/>
      <c r="N1620" s="27"/>
      <c r="O1620" s="27"/>
      <c r="P1620" s="27"/>
      <c r="Q1620" s="27"/>
      <c r="R1620" s="27"/>
      <c r="S1620" s="28"/>
      <c r="T1620" s="29"/>
      <c r="U1620" s="29"/>
      <c r="V1620" s="24"/>
      <c r="W1620" s="24"/>
    </row>
    <row r="1621">
      <c r="A1621" s="41"/>
      <c r="B1621" s="25"/>
      <c r="C1621" s="25"/>
      <c r="D1621" s="25"/>
      <c r="E1621" s="25"/>
      <c r="F1621" s="26"/>
      <c r="G1621" s="25"/>
      <c r="H1621" s="25"/>
      <c r="I1621" s="25"/>
      <c r="J1621" s="25"/>
      <c r="K1621" s="25"/>
      <c r="L1621" s="25"/>
      <c r="M1621" s="25"/>
      <c r="N1621" s="27"/>
      <c r="O1621" s="27"/>
      <c r="P1621" s="27"/>
      <c r="Q1621" s="27"/>
      <c r="R1621" s="27"/>
      <c r="S1621" s="28"/>
      <c r="T1621" s="29"/>
      <c r="U1621" s="29"/>
      <c r="V1621" s="24"/>
      <c r="W1621" s="24"/>
    </row>
    <row r="1622">
      <c r="A1622" s="41"/>
      <c r="B1622" s="25"/>
      <c r="C1622" s="25"/>
      <c r="D1622" s="25"/>
      <c r="E1622" s="25"/>
      <c r="F1622" s="26"/>
      <c r="G1622" s="25"/>
      <c r="H1622" s="25"/>
      <c r="I1622" s="25"/>
      <c r="J1622" s="25"/>
      <c r="K1622" s="25"/>
      <c r="L1622" s="25"/>
      <c r="M1622" s="25"/>
      <c r="N1622" s="27"/>
      <c r="O1622" s="27"/>
      <c r="P1622" s="27"/>
      <c r="Q1622" s="27"/>
      <c r="R1622" s="27"/>
      <c r="S1622" s="28"/>
      <c r="T1622" s="29"/>
      <c r="U1622" s="29"/>
      <c r="V1622" s="24"/>
      <c r="W1622" s="24"/>
    </row>
    <row r="1623">
      <c r="A1623" s="41"/>
      <c r="B1623" s="25"/>
      <c r="C1623" s="25"/>
      <c r="D1623" s="25"/>
      <c r="E1623" s="25"/>
      <c r="F1623" s="26"/>
      <c r="G1623" s="25"/>
      <c r="H1623" s="25"/>
      <c r="I1623" s="25"/>
      <c r="J1623" s="25"/>
      <c r="K1623" s="25"/>
      <c r="L1623" s="25"/>
      <c r="M1623" s="25"/>
      <c r="N1623" s="27"/>
      <c r="O1623" s="27"/>
      <c r="P1623" s="27"/>
      <c r="Q1623" s="27"/>
      <c r="R1623" s="27"/>
      <c r="S1623" s="28"/>
      <c r="T1623" s="29"/>
      <c r="U1623" s="29"/>
      <c r="V1623" s="24"/>
      <c r="W1623" s="24"/>
    </row>
    <row r="1624">
      <c r="A1624" s="41"/>
      <c r="B1624" s="25"/>
      <c r="C1624" s="25"/>
      <c r="D1624" s="25"/>
      <c r="E1624" s="25"/>
      <c r="F1624" s="26"/>
      <c r="G1624" s="25"/>
      <c r="H1624" s="25"/>
      <c r="I1624" s="25"/>
      <c r="J1624" s="25"/>
      <c r="K1624" s="25"/>
      <c r="L1624" s="25"/>
      <c r="M1624" s="25"/>
      <c r="N1624" s="27"/>
      <c r="O1624" s="27"/>
      <c r="P1624" s="27"/>
      <c r="Q1624" s="27"/>
      <c r="R1624" s="27"/>
      <c r="S1624" s="28"/>
      <c r="T1624" s="29"/>
      <c r="U1624" s="29"/>
      <c r="V1624" s="24"/>
      <c r="W1624" s="24"/>
    </row>
    <row r="1625">
      <c r="A1625" s="41"/>
      <c r="B1625" s="25"/>
      <c r="C1625" s="25"/>
      <c r="D1625" s="25"/>
      <c r="E1625" s="25"/>
      <c r="F1625" s="26"/>
      <c r="G1625" s="25"/>
      <c r="H1625" s="25"/>
      <c r="I1625" s="25"/>
      <c r="J1625" s="25"/>
      <c r="K1625" s="25"/>
      <c r="L1625" s="25"/>
      <c r="M1625" s="25"/>
      <c r="N1625" s="27"/>
      <c r="O1625" s="27"/>
      <c r="P1625" s="27"/>
      <c r="Q1625" s="27"/>
      <c r="R1625" s="27"/>
      <c r="S1625" s="28"/>
      <c r="T1625" s="29"/>
      <c r="U1625" s="29"/>
      <c r="V1625" s="24"/>
      <c r="W1625" s="24"/>
    </row>
    <row r="1626">
      <c r="A1626" s="41"/>
      <c r="B1626" s="25"/>
      <c r="C1626" s="25"/>
      <c r="D1626" s="25"/>
      <c r="E1626" s="25"/>
      <c r="F1626" s="26"/>
      <c r="G1626" s="25"/>
      <c r="H1626" s="25"/>
      <c r="I1626" s="25"/>
      <c r="J1626" s="25"/>
      <c r="K1626" s="25"/>
      <c r="L1626" s="25"/>
      <c r="M1626" s="25"/>
      <c r="N1626" s="27"/>
      <c r="O1626" s="27"/>
      <c r="P1626" s="27"/>
      <c r="Q1626" s="27"/>
      <c r="R1626" s="27"/>
      <c r="S1626" s="28"/>
      <c r="T1626" s="29"/>
      <c r="U1626" s="29"/>
      <c r="V1626" s="24"/>
      <c r="W1626" s="24"/>
    </row>
    <row r="1627">
      <c r="A1627" s="41"/>
      <c r="B1627" s="25"/>
      <c r="C1627" s="25"/>
      <c r="D1627" s="25"/>
      <c r="E1627" s="25"/>
      <c r="F1627" s="26"/>
      <c r="G1627" s="25"/>
      <c r="H1627" s="25"/>
      <c r="I1627" s="25"/>
      <c r="J1627" s="25"/>
      <c r="K1627" s="25"/>
      <c r="L1627" s="25"/>
      <c r="M1627" s="25"/>
      <c r="N1627" s="27"/>
      <c r="O1627" s="27"/>
      <c r="P1627" s="27"/>
      <c r="Q1627" s="27"/>
      <c r="R1627" s="27"/>
      <c r="S1627" s="28"/>
      <c r="T1627" s="29"/>
      <c r="U1627" s="29"/>
      <c r="V1627" s="24"/>
      <c r="W1627" s="24"/>
    </row>
    <row r="1628">
      <c r="A1628" s="41"/>
      <c r="B1628" s="25"/>
      <c r="C1628" s="25"/>
      <c r="D1628" s="25"/>
      <c r="E1628" s="25"/>
      <c r="F1628" s="26"/>
      <c r="G1628" s="25"/>
      <c r="H1628" s="25"/>
      <c r="I1628" s="25"/>
      <c r="J1628" s="25"/>
      <c r="K1628" s="25"/>
      <c r="L1628" s="25"/>
      <c r="M1628" s="25"/>
      <c r="N1628" s="27"/>
      <c r="O1628" s="27"/>
      <c r="P1628" s="27"/>
      <c r="Q1628" s="27"/>
      <c r="R1628" s="27"/>
      <c r="S1628" s="28"/>
      <c r="T1628" s="29"/>
      <c r="U1628" s="29"/>
      <c r="V1628" s="24"/>
      <c r="W1628" s="24"/>
    </row>
    <row r="1629">
      <c r="A1629" s="41"/>
      <c r="B1629" s="25"/>
      <c r="C1629" s="25"/>
      <c r="D1629" s="25"/>
      <c r="E1629" s="25"/>
      <c r="F1629" s="26"/>
      <c r="G1629" s="25"/>
      <c r="H1629" s="25"/>
      <c r="I1629" s="25"/>
      <c r="J1629" s="25"/>
      <c r="K1629" s="25"/>
      <c r="L1629" s="25"/>
      <c r="M1629" s="25"/>
      <c r="N1629" s="27"/>
      <c r="O1629" s="27"/>
      <c r="P1629" s="27"/>
      <c r="Q1629" s="27"/>
      <c r="R1629" s="27"/>
      <c r="S1629" s="28"/>
      <c r="T1629" s="29"/>
      <c r="U1629" s="29"/>
      <c r="V1629" s="24"/>
      <c r="W1629" s="24"/>
    </row>
    <row r="1630">
      <c r="A1630" s="41"/>
      <c r="B1630" s="25"/>
      <c r="C1630" s="25"/>
      <c r="D1630" s="25"/>
      <c r="E1630" s="25"/>
      <c r="F1630" s="26"/>
      <c r="G1630" s="25"/>
      <c r="H1630" s="25"/>
      <c r="I1630" s="25"/>
      <c r="J1630" s="25"/>
      <c r="K1630" s="25"/>
      <c r="L1630" s="25"/>
      <c r="M1630" s="25"/>
      <c r="N1630" s="27"/>
      <c r="O1630" s="27"/>
      <c r="P1630" s="27"/>
      <c r="Q1630" s="27"/>
      <c r="R1630" s="27"/>
      <c r="S1630" s="28"/>
      <c r="T1630" s="29"/>
      <c r="U1630" s="29"/>
      <c r="V1630" s="24"/>
      <c r="W1630" s="24"/>
    </row>
    <row r="1631">
      <c r="A1631" s="41"/>
      <c r="B1631" s="25"/>
      <c r="C1631" s="25"/>
      <c r="D1631" s="25"/>
      <c r="E1631" s="25"/>
      <c r="F1631" s="26"/>
      <c r="G1631" s="25"/>
      <c r="H1631" s="25"/>
      <c r="I1631" s="25"/>
      <c r="J1631" s="25"/>
      <c r="K1631" s="25"/>
      <c r="L1631" s="25"/>
      <c r="M1631" s="25"/>
      <c r="N1631" s="27"/>
      <c r="O1631" s="27"/>
      <c r="P1631" s="27"/>
      <c r="Q1631" s="27"/>
      <c r="R1631" s="27"/>
      <c r="S1631" s="28"/>
      <c r="T1631" s="29"/>
      <c r="U1631" s="29"/>
      <c r="V1631" s="24"/>
      <c r="W1631" s="24"/>
    </row>
    <row r="1632">
      <c r="A1632" s="41"/>
      <c r="B1632" s="25"/>
      <c r="C1632" s="25"/>
      <c r="D1632" s="25"/>
      <c r="E1632" s="25"/>
      <c r="F1632" s="26"/>
      <c r="G1632" s="25"/>
      <c r="H1632" s="25"/>
      <c r="I1632" s="25"/>
      <c r="J1632" s="25"/>
      <c r="K1632" s="25"/>
      <c r="L1632" s="25"/>
      <c r="M1632" s="25"/>
      <c r="N1632" s="27"/>
      <c r="O1632" s="27"/>
      <c r="P1632" s="27"/>
      <c r="Q1632" s="27"/>
      <c r="R1632" s="27"/>
      <c r="S1632" s="28"/>
      <c r="T1632" s="29"/>
      <c r="U1632" s="29"/>
      <c r="V1632" s="24"/>
      <c r="W1632" s="24"/>
    </row>
    <row r="1633">
      <c r="A1633" s="41"/>
      <c r="B1633" s="25"/>
      <c r="C1633" s="25"/>
      <c r="D1633" s="25"/>
      <c r="E1633" s="25"/>
      <c r="F1633" s="26"/>
      <c r="G1633" s="25"/>
      <c r="H1633" s="25"/>
      <c r="I1633" s="25"/>
      <c r="J1633" s="25"/>
      <c r="K1633" s="25"/>
      <c r="L1633" s="25"/>
      <c r="M1633" s="25"/>
      <c r="N1633" s="27"/>
      <c r="O1633" s="27"/>
      <c r="P1633" s="27"/>
      <c r="Q1633" s="27"/>
      <c r="R1633" s="27"/>
      <c r="S1633" s="28"/>
      <c r="T1633" s="29"/>
      <c r="U1633" s="29"/>
      <c r="V1633" s="24"/>
      <c r="W1633" s="24"/>
    </row>
    <row r="1634">
      <c r="A1634" s="41"/>
      <c r="B1634" s="25"/>
      <c r="C1634" s="25"/>
      <c r="D1634" s="25"/>
      <c r="E1634" s="25"/>
      <c r="F1634" s="26"/>
      <c r="G1634" s="25"/>
      <c r="H1634" s="25"/>
      <c r="I1634" s="25"/>
      <c r="J1634" s="25"/>
      <c r="K1634" s="25"/>
      <c r="L1634" s="25"/>
      <c r="M1634" s="25"/>
      <c r="N1634" s="27"/>
      <c r="O1634" s="27"/>
      <c r="P1634" s="27"/>
      <c r="Q1634" s="27"/>
      <c r="R1634" s="27"/>
      <c r="S1634" s="28"/>
      <c r="T1634" s="29"/>
      <c r="U1634" s="29"/>
      <c r="V1634" s="24"/>
      <c r="W1634" s="24"/>
    </row>
    <row r="1635">
      <c r="A1635" s="41"/>
      <c r="B1635" s="25"/>
      <c r="C1635" s="25"/>
      <c r="D1635" s="25"/>
      <c r="E1635" s="25"/>
      <c r="F1635" s="26"/>
      <c r="G1635" s="25"/>
      <c r="H1635" s="25"/>
      <c r="I1635" s="25"/>
      <c r="J1635" s="25"/>
      <c r="K1635" s="25"/>
      <c r="L1635" s="25"/>
      <c r="M1635" s="25"/>
      <c r="N1635" s="27"/>
      <c r="O1635" s="27"/>
      <c r="P1635" s="27"/>
      <c r="Q1635" s="27"/>
      <c r="R1635" s="27"/>
      <c r="S1635" s="28"/>
      <c r="T1635" s="29"/>
      <c r="U1635" s="29"/>
      <c r="V1635" s="24"/>
      <c r="W1635" s="24"/>
    </row>
    <row r="1636">
      <c r="A1636" s="41"/>
      <c r="B1636" s="25"/>
      <c r="C1636" s="25"/>
      <c r="D1636" s="25"/>
      <c r="E1636" s="25"/>
      <c r="F1636" s="26"/>
      <c r="G1636" s="25"/>
      <c r="H1636" s="25"/>
      <c r="I1636" s="25"/>
      <c r="J1636" s="25"/>
      <c r="K1636" s="25"/>
      <c r="L1636" s="25"/>
      <c r="M1636" s="25"/>
      <c r="N1636" s="27"/>
      <c r="O1636" s="27"/>
      <c r="P1636" s="27"/>
      <c r="Q1636" s="27"/>
      <c r="R1636" s="27"/>
      <c r="S1636" s="28"/>
      <c r="T1636" s="29"/>
      <c r="U1636" s="29"/>
      <c r="V1636" s="24"/>
      <c r="W1636" s="24"/>
    </row>
    <row r="1637">
      <c r="A1637" s="41"/>
      <c r="B1637" s="25"/>
      <c r="C1637" s="25"/>
      <c r="D1637" s="25"/>
      <c r="E1637" s="25"/>
      <c r="F1637" s="26"/>
      <c r="G1637" s="25"/>
      <c r="H1637" s="25"/>
      <c r="I1637" s="25"/>
      <c r="J1637" s="25"/>
      <c r="K1637" s="25"/>
      <c r="L1637" s="25"/>
      <c r="M1637" s="25"/>
      <c r="N1637" s="27"/>
      <c r="O1637" s="27"/>
      <c r="P1637" s="27"/>
      <c r="Q1637" s="27"/>
      <c r="R1637" s="27"/>
      <c r="S1637" s="28"/>
      <c r="T1637" s="29"/>
      <c r="U1637" s="29"/>
      <c r="V1637" s="24"/>
      <c r="W1637" s="24"/>
    </row>
    <row r="1638">
      <c r="A1638" s="41"/>
      <c r="B1638" s="25"/>
      <c r="C1638" s="25"/>
      <c r="D1638" s="25"/>
      <c r="E1638" s="25"/>
      <c r="F1638" s="26"/>
      <c r="G1638" s="25"/>
      <c r="H1638" s="25"/>
      <c r="I1638" s="25"/>
      <c r="J1638" s="25"/>
      <c r="K1638" s="25"/>
      <c r="L1638" s="25"/>
      <c r="M1638" s="25"/>
      <c r="N1638" s="27"/>
      <c r="O1638" s="27"/>
      <c r="P1638" s="27"/>
      <c r="Q1638" s="27"/>
      <c r="R1638" s="27"/>
      <c r="S1638" s="28"/>
      <c r="T1638" s="29"/>
      <c r="U1638" s="29"/>
      <c r="V1638" s="24"/>
      <c r="W1638" s="24"/>
    </row>
    <row r="1639">
      <c r="A1639" s="41"/>
      <c r="B1639" s="25"/>
      <c r="C1639" s="25"/>
      <c r="D1639" s="25"/>
      <c r="E1639" s="25"/>
      <c r="F1639" s="26"/>
      <c r="G1639" s="25"/>
      <c r="H1639" s="25"/>
      <c r="I1639" s="25"/>
      <c r="J1639" s="25"/>
      <c r="K1639" s="25"/>
      <c r="L1639" s="25"/>
      <c r="M1639" s="25"/>
      <c r="N1639" s="27"/>
      <c r="O1639" s="27"/>
      <c r="P1639" s="27"/>
      <c r="Q1639" s="27"/>
      <c r="R1639" s="27"/>
      <c r="S1639" s="28"/>
      <c r="T1639" s="29"/>
      <c r="U1639" s="29"/>
      <c r="V1639" s="24"/>
      <c r="W1639" s="24"/>
    </row>
    <row r="1640">
      <c r="A1640" s="41"/>
      <c r="B1640" s="25"/>
      <c r="C1640" s="25"/>
      <c r="D1640" s="25"/>
      <c r="E1640" s="25"/>
      <c r="F1640" s="26"/>
      <c r="G1640" s="25"/>
      <c r="H1640" s="25"/>
      <c r="I1640" s="25"/>
      <c r="J1640" s="25"/>
      <c r="K1640" s="25"/>
      <c r="L1640" s="25"/>
      <c r="M1640" s="25"/>
      <c r="N1640" s="27"/>
      <c r="O1640" s="27"/>
      <c r="P1640" s="27"/>
      <c r="Q1640" s="27"/>
      <c r="R1640" s="27"/>
      <c r="S1640" s="28"/>
      <c r="T1640" s="29"/>
      <c r="U1640" s="29"/>
      <c r="V1640" s="24"/>
      <c r="W1640" s="24"/>
    </row>
    <row r="1641">
      <c r="A1641" s="41"/>
      <c r="B1641" s="25"/>
      <c r="C1641" s="25"/>
      <c r="D1641" s="25"/>
      <c r="E1641" s="25"/>
      <c r="F1641" s="26"/>
      <c r="G1641" s="25"/>
      <c r="H1641" s="25"/>
      <c r="I1641" s="25"/>
      <c r="J1641" s="25"/>
      <c r="K1641" s="25"/>
      <c r="L1641" s="25"/>
      <c r="M1641" s="25"/>
      <c r="N1641" s="27"/>
      <c r="O1641" s="27"/>
      <c r="P1641" s="27"/>
      <c r="Q1641" s="27"/>
      <c r="R1641" s="27"/>
      <c r="S1641" s="28"/>
      <c r="T1641" s="29"/>
      <c r="U1641" s="29"/>
      <c r="V1641" s="24"/>
      <c r="W1641" s="24"/>
    </row>
    <row r="1642">
      <c r="A1642" s="41"/>
      <c r="B1642" s="25"/>
      <c r="C1642" s="25"/>
      <c r="D1642" s="25"/>
      <c r="E1642" s="25"/>
      <c r="F1642" s="26"/>
      <c r="G1642" s="25"/>
      <c r="H1642" s="25"/>
      <c r="I1642" s="25"/>
      <c r="J1642" s="25"/>
      <c r="K1642" s="25"/>
      <c r="L1642" s="25"/>
      <c r="M1642" s="25"/>
      <c r="N1642" s="27"/>
      <c r="O1642" s="27"/>
      <c r="P1642" s="27"/>
      <c r="Q1642" s="27"/>
      <c r="R1642" s="27"/>
      <c r="S1642" s="28"/>
      <c r="T1642" s="29"/>
      <c r="U1642" s="29"/>
      <c r="V1642" s="24"/>
      <c r="W1642" s="24"/>
    </row>
    <row r="1643">
      <c r="A1643" s="41"/>
      <c r="B1643" s="25"/>
      <c r="C1643" s="25"/>
      <c r="D1643" s="25"/>
      <c r="E1643" s="25"/>
      <c r="F1643" s="26"/>
      <c r="G1643" s="25"/>
      <c r="H1643" s="25"/>
      <c r="I1643" s="25"/>
      <c r="J1643" s="25"/>
      <c r="K1643" s="25"/>
      <c r="L1643" s="25"/>
      <c r="M1643" s="25"/>
      <c r="N1643" s="27"/>
      <c r="O1643" s="27"/>
      <c r="P1643" s="27"/>
      <c r="Q1643" s="27"/>
      <c r="R1643" s="27"/>
      <c r="S1643" s="28"/>
      <c r="T1643" s="29"/>
      <c r="U1643" s="29"/>
      <c r="V1643" s="24"/>
      <c r="W1643" s="24"/>
    </row>
    <row r="1644">
      <c r="A1644" s="41"/>
      <c r="B1644" s="25"/>
      <c r="C1644" s="25"/>
      <c r="D1644" s="25"/>
      <c r="E1644" s="25"/>
      <c r="F1644" s="26"/>
      <c r="G1644" s="25"/>
      <c r="H1644" s="25"/>
      <c r="I1644" s="25"/>
      <c r="J1644" s="25"/>
      <c r="K1644" s="25"/>
      <c r="L1644" s="25"/>
      <c r="M1644" s="25"/>
      <c r="N1644" s="27"/>
      <c r="O1644" s="27"/>
      <c r="P1644" s="27"/>
      <c r="Q1644" s="27"/>
      <c r="R1644" s="27"/>
      <c r="S1644" s="28"/>
      <c r="T1644" s="29"/>
      <c r="U1644" s="29"/>
      <c r="V1644" s="24"/>
      <c r="W1644" s="24"/>
    </row>
    <row r="1645">
      <c r="A1645" s="42"/>
      <c r="B1645" s="43"/>
      <c r="C1645" s="43"/>
      <c r="D1645" s="43"/>
      <c r="E1645" s="43"/>
      <c r="F1645" s="44"/>
      <c r="G1645" s="43"/>
      <c r="H1645" s="43"/>
      <c r="I1645" s="43"/>
      <c r="J1645" s="43"/>
      <c r="K1645" s="43"/>
      <c r="L1645" s="43"/>
      <c r="M1645" s="43"/>
      <c r="N1645" s="45"/>
      <c r="O1645" s="45"/>
      <c r="P1645" s="45"/>
      <c r="Q1645" s="45"/>
      <c r="R1645" s="45"/>
      <c r="S1645" s="46"/>
      <c r="T1645" s="47"/>
      <c r="U1645" s="47"/>
      <c r="V1645" s="48"/>
      <c r="W1645" s="48"/>
    </row>
  </sheetData>
  <conditionalFormatting sqref="D1:D1645">
    <cfRule type="containsText" dxfId="0" priority="1" operator="containsText" text="pioggia">
      <formula>NOT(ISERROR(SEARCH(("pioggia"),(D1))))</formula>
    </cfRule>
  </conditionalFormatting>
  <conditionalFormatting sqref="D1:D1645">
    <cfRule type="containsText" dxfId="1" priority="2" operator="containsText" text="sereno">
      <formula>NOT(ISERROR(SEARCH(("sereno"),(D1))))</formula>
    </cfRule>
  </conditionalFormatting>
  <conditionalFormatting sqref="D1:D1645">
    <cfRule type="containsText" dxfId="2" priority="3" operator="containsText" text="copert">
      <formula>NOT(ISERROR(SEARCH(("copert"),(D1))))</formula>
    </cfRule>
  </conditionalFormatting>
  <hyperlinks>
    <hyperlink r:id="rId1" ref="S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