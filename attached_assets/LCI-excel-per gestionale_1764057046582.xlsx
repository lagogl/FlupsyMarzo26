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nna.martini\Desktop\"/>
    </mc:Choice>
  </mc:AlternateContent>
  <xr:revisionPtr revIDLastSave="0" documentId="13_ncr:1_{DDA0FED5-FDB6-4ED9-BD8F-C262D9E00362}" xr6:coauthVersionLast="47" xr6:coauthVersionMax="47" xr10:uidLastSave="{00000000-0000-0000-0000-000000000000}"/>
  <bookViews>
    <workbookView xWindow="28680" yWindow="-1500" windowWidth="29040" windowHeight="15720" activeTab="2" xr2:uid="{8B2D28DA-5F4D-4A5E-9308-76D6CBE2B7C2}"/>
  </bookViews>
  <sheets>
    <sheet name="Ecotapes Olanda" sheetId="1" r:id="rId1"/>
    <sheet name="Ecotapes Italia" sheetId="2" r:id="rId2"/>
    <sheet name="Delta Futur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7" i="3" l="1"/>
  <c r="C22" i="3"/>
  <c r="C19" i="3"/>
  <c r="G52" i="3"/>
  <c r="G51" i="3"/>
  <c r="G41" i="3"/>
  <c r="E41" i="3"/>
  <c r="D69" i="2"/>
  <c r="D68" i="2"/>
  <c r="G54" i="2"/>
  <c r="G53" i="2"/>
  <c r="G43" i="2"/>
  <c r="G42" i="2"/>
  <c r="D51" i="1"/>
  <c r="D50" i="1"/>
  <c r="D49" i="1"/>
  <c r="E26" i="1"/>
  <c r="E27" i="1" s="1"/>
  <c r="C18" i="1"/>
</calcChain>
</file>

<file path=xl/sharedStrings.xml><?xml version="1.0" encoding="utf-8"?>
<sst xmlns="http://schemas.openxmlformats.org/spreadsheetml/2006/main" count="556" uniqueCount="239">
  <si>
    <t>Informazioni generali</t>
  </si>
  <si>
    <t>Tipologia di impianto</t>
  </si>
  <si>
    <t>indoor hatchery</t>
  </si>
  <si>
    <t xml:space="preserve">Dimensione (in m2) </t>
  </si>
  <si>
    <t>Prodotto finale</t>
  </si>
  <si>
    <t>fino a T0.5</t>
  </si>
  <si>
    <t>Tipologia aziendale</t>
  </si>
  <si>
    <t>commerciale</t>
  </si>
  <si>
    <t>Località</t>
  </si>
  <si>
    <t>Jacobahaven nr. 1 Kamperland NL</t>
  </si>
  <si>
    <t>Farm scale</t>
  </si>
  <si>
    <t>Coordinate</t>
  </si>
  <si>
    <t>ANNUALITA' DI RIFERIMENTO</t>
  </si>
  <si>
    <t>2022-2024</t>
  </si>
  <si>
    <t>Numero cicli produttivi per anno</t>
  </si>
  <si>
    <t>18-20</t>
  </si>
  <si>
    <t>Size (mm or gr)</t>
  </si>
  <si>
    <t>Amount (2024)</t>
  </si>
  <si>
    <t>Manila clam broodstock</t>
  </si>
  <si>
    <t>35-40 mm (15gr)</t>
  </si>
  <si>
    <t>non essendo stato possibile calcolare il consumo di carburante per la pesca dei riproduttori , questo processo non è stato incluso nell'analisi</t>
  </si>
  <si>
    <t>Type of material</t>
  </si>
  <si>
    <t>Expected life time (years)</t>
  </si>
  <si>
    <t>Way of disposal</t>
  </si>
  <si>
    <t xml:space="preserve">Amount </t>
  </si>
  <si>
    <t>Unit</t>
  </si>
  <si>
    <t>Peso unitario (kg)</t>
  </si>
  <si>
    <t>LDPE</t>
  </si>
  <si>
    <t>2 mesi</t>
  </si>
  <si>
    <t>ferro zincato</t>
  </si>
  <si>
    <t>40 anni</t>
  </si>
  <si>
    <t>p</t>
  </si>
  <si>
    <t xml:space="preserve"> Water pump Iwaki Magnet 0.2 kW</t>
  </si>
  <si>
    <t>misto</t>
  </si>
  <si>
    <t>5 anni</t>
  </si>
  <si>
    <t>acciaio, rame</t>
  </si>
  <si>
    <t>10 anni</t>
  </si>
  <si>
    <t>Tanks, 250L</t>
  </si>
  <si>
    <t>recycled PP</t>
  </si>
  <si>
    <t xml:space="preserve">20 anni </t>
  </si>
  <si>
    <t>Tanks, 1000L</t>
  </si>
  <si>
    <t>PE</t>
  </si>
  <si>
    <t>Raceways</t>
  </si>
  <si>
    <t>PP</t>
  </si>
  <si>
    <t>PVC</t>
  </si>
  <si>
    <t>nylon</t>
  </si>
  <si>
    <t>kg</t>
  </si>
  <si>
    <t>Input from the environment/wild (species)</t>
  </si>
  <si>
    <t>pc</t>
  </si>
  <si>
    <t>Bags (Seacaps system)</t>
  </si>
  <si>
    <t>Portasacco (rete elettrosaladata)</t>
  </si>
  <si>
    <t>Air pump Dry Vacuum pump, 1.35 kW</t>
  </si>
  <si>
    <t xml:space="preserve"> Water pump Iwaki Magnet, 0.2 kW</t>
  </si>
  <si>
    <t>Water boiler, 3 kW</t>
  </si>
  <si>
    <t>Heat pumps unit, 28.3 kW</t>
  </si>
  <si>
    <t>Water pump, 1.4 kW</t>
  </si>
  <si>
    <t>Cestelli raceways</t>
  </si>
  <si>
    <t>Fondo cestelli raceways (rete)</t>
  </si>
  <si>
    <t>Pump, 100W</t>
  </si>
  <si>
    <t>MATERIALS (infrastructure, equipment)</t>
  </si>
  <si>
    <t>marine water</t>
  </si>
  <si>
    <t>freshwater</t>
  </si>
  <si>
    <t>CO2, liquid</t>
  </si>
  <si>
    <t>Disposable gloves</t>
  </si>
  <si>
    <t>Nutrient silica</t>
  </si>
  <si>
    <t>CONSUMABILI (materiali, energia, carburanti)</t>
  </si>
  <si>
    <t>consumo annuale (2024)</t>
  </si>
  <si>
    <t>m3</t>
  </si>
  <si>
    <t>L</t>
  </si>
  <si>
    <t>bleach (&lt;5% conc.)</t>
  </si>
  <si>
    <t>Polystyrene boxes, 0.15 kg/each</t>
  </si>
  <si>
    <t>Electricity fro grid</t>
  </si>
  <si>
    <t>Electricity fro PV</t>
  </si>
  <si>
    <t>kWh</t>
  </si>
  <si>
    <t>1 (single transport in 2018)</t>
  </si>
  <si>
    <t>km</t>
  </si>
  <si>
    <t>12 viaggi, 25kg/delivery</t>
  </si>
  <si>
    <t>12 viaggi, 4kg/each time</t>
  </si>
  <si>
    <t>kgkm</t>
  </si>
  <si>
    <t>Trasporto vasche, truck</t>
  </si>
  <si>
    <t>Transport of the seed, truck</t>
  </si>
  <si>
    <t>Transport of the breeders, truck</t>
  </si>
  <si>
    <t>1 anno</t>
  </si>
  <si>
    <t>Expected life time</t>
  </si>
  <si>
    <t>Waste plastic, mixture {NL}| market for waste plastic, mixture | Cut-off, U</t>
  </si>
  <si>
    <t>Waste polyethylene {NL}| market for waste polyethylene | Cut-off, U</t>
  </si>
  <si>
    <t>Waste steel {Europe without Switzerland}| treatment of waste steel, municipal incineration | Cut-off, U</t>
  </si>
  <si>
    <t>Waste copper, PVC, rubber, steel…</t>
  </si>
  <si>
    <t>Waste hazardous (incineration), mineral wool, plastic, pig iron</t>
  </si>
  <si>
    <t>Waste polypropylene {IT}| market for waste polypropylene | Cut-off, U</t>
  </si>
  <si>
    <t>Waste polypropylene {NL}| market for waste polypropylene | Cut-off, S</t>
  </si>
  <si>
    <t>Waste polyvinylchloride {NL}| market for waste polyvinylchloride | Cut-off, S</t>
  </si>
  <si>
    <t>Municipal solid waste {NL}| treatment of municipal solid waste, municipal incineration | Cut-off, U</t>
  </si>
  <si>
    <t>not included in the model</t>
  </si>
  <si>
    <t>Output (final product/s)</t>
  </si>
  <si>
    <t xml:space="preserve">Manila clam seed </t>
  </si>
  <si>
    <t>T0.5</t>
  </si>
  <si>
    <t>390.000.000 pc</t>
  </si>
  <si>
    <t>46 kg</t>
  </si>
  <si>
    <t>indoor post-hachery + outdoor pre-fattening</t>
  </si>
  <si>
    <t>256 m2 (indoor) + 850 m2 outdoor/canale</t>
  </si>
  <si>
    <t>T3</t>
  </si>
  <si>
    <t>Porto Viro, RO</t>
  </si>
  <si>
    <t>45°00'11"N 12°23'00"E</t>
  </si>
  <si>
    <t>T3 (25000 pz/kg)</t>
  </si>
  <si>
    <t>Input</t>
  </si>
  <si>
    <t xml:space="preserve">T2.5 </t>
  </si>
  <si>
    <t>T4</t>
  </si>
  <si>
    <t>T5</t>
  </si>
  <si>
    <t>T6</t>
  </si>
  <si>
    <t>T3.5</t>
  </si>
  <si>
    <t>Manila clam</t>
  </si>
  <si>
    <r>
      <t xml:space="preserve"> T10</t>
    </r>
    <r>
      <rPr>
        <sz val="8"/>
        <color theme="1"/>
        <rFont val="Calibri"/>
        <family val="2"/>
      </rPr>
      <t xml:space="preserve"> (excluding T10 bought from third-parties)</t>
    </r>
  </si>
  <si>
    <t>Amount (2024) KG</t>
  </si>
  <si>
    <t>Amount (2024) pieces</t>
  </si>
  <si>
    <t>cestelli raceways</t>
  </si>
  <si>
    <t>acciaio 316</t>
  </si>
  <si>
    <t>IBC tanks</t>
  </si>
  <si>
    <t>na</t>
  </si>
  <si>
    <t>pompa ASTRAL Pool 300T, 2.4 kW</t>
  </si>
  <si>
    <t>Pompa in ghisa, 0.5 kW</t>
  </si>
  <si>
    <t>Pompa, 20 W</t>
  </si>
  <si>
    <t>Vasca troncoconica esterna</t>
  </si>
  <si>
    <t>vetroresina</t>
  </si>
  <si>
    <t>cemento</t>
  </si>
  <si>
    <t>FLUPSY alluminio</t>
  </si>
  <si>
    <t>alluminio</t>
  </si>
  <si>
    <t>Ceste per FLUPSY in alluminio</t>
  </si>
  <si>
    <t>Fondo in rete di acciaio ceste FLUPSY</t>
  </si>
  <si>
    <t>acciaio</t>
  </si>
  <si>
    <t>Flupsy in PVC</t>
  </si>
  <si>
    <t xml:space="preserve">PVC </t>
  </si>
  <si>
    <t>Ceste per FLUPSY in PP, cubiche</t>
  </si>
  <si>
    <t>Fondo in rete di nylon ceste FLUPSY</t>
  </si>
  <si>
    <t>20-30</t>
  </si>
  <si>
    <t xml:space="preserve">Elica, 1.5 kW </t>
  </si>
  <si>
    <t>Bins</t>
  </si>
  <si>
    <t>Cestelli bins</t>
  </si>
  <si>
    <t>Retina fondo cestello bin</t>
  </si>
  <si>
    <t>Waste polyvinylchloride {IT}| market for waste polyvinylchloride | Cut-off, U</t>
  </si>
  <si>
    <t>Waste plastic, mixture {IT}| market for waste plastic, mixture | Cut-off, U</t>
  </si>
  <si>
    <t>Retina fondo cestello raceways</t>
  </si>
  <si>
    <t>Waste steel {Europe without Switzerland}| market for waste steel | Cut-off, U</t>
  </si>
  <si>
    <t>Vaglio quadrato</t>
  </si>
  <si>
    <t>Vagli rettangolari</t>
  </si>
  <si>
    <t>steel</t>
  </si>
  <si>
    <t>HDPE</t>
  </si>
  <si>
    <t>EUR-flat pallet</t>
  </si>
  <si>
    <t>Waste polyethylene {IT}| market for waste polyethylene | Cut-off, U</t>
  </si>
  <si>
    <t>Waste wood, untreated {IT}| market for waste wood, untreated | Cut-off, U</t>
  </si>
  <si>
    <t>Steel and iron (waste treatment) {GLO}| recycling of steel and iron | Cut-off, U</t>
  </si>
  <si>
    <t>Tubature</t>
  </si>
  <si>
    <t>Used fluorescent lamp {GLO}| market for used fluorescent lamp | Cut-off, U</t>
  </si>
  <si>
    <t>LED</t>
  </si>
  <si>
    <t>polycarbonate</t>
  </si>
  <si>
    <t>Luci LED, 14m</t>
  </si>
  <si>
    <t>g</t>
  </si>
  <si>
    <t>Vasca esterna in cemento, microalghe</t>
  </si>
  <si>
    <t>Waste concrete {RoW}| market for waste concrete | Cut-off, U</t>
  </si>
  <si>
    <t>Waste aluminium {Europe without Switzerland}| market for waste aluminium | Cut-off, U</t>
  </si>
  <si>
    <t>Waste plastic, mixture {Europe without Switzerland}| market group for waste plastic, mixture | Cut-off, U</t>
  </si>
  <si>
    <t>O2, liquid</t>
  </si>
  <si>
    <t>Lubricating oil</t>
  </si>
  <si>
    <t>perfosfato trisodico</t>
  </si>
  <si>
    <t>urea agricola</t>
  </si>
  <si>
    <t>abbigliamento tecnico</t>
  </si>
  <si>
    <t>stivali e waders, 3 pezzi/each</t>
  </si>
  <si>
    <t>Transport of clams, refrigerated truck</t>
  </si>
  <si>
    <t>raceways (indoor)+FLUPSY e sand nursery (outdoor)</t>
  </si>
  <si>
    <t>T10 (10 000 pc/kg)</t>
  </si>
  <si>
    <t>pilota</t>
  </si>
  <si>
    <t>Goro (FE)</t>
  </si>
  <si>
    <t>commerciale, in fase di avviamento</t>
  </si>
  <si>
    <t>44°50'21"N 12°19'22"E</t>
  </si>
  <si>
    <t>2025 (in corso)</t>
  </si>
  <si>
    <t xml:space="preserve"> T10</t>
  </si>
  <si>
    <t>Amount (2025) KG</t>
  </si>
  <si>
    <t>70000 m2 terreno + 16800 m2 canali/sandnursery</t>
  </si>
  <si>
    <t>7.000.000 (in sand-nursery 1)</t>
  </si>
  <si>
    <t>Amount (2025) kg</t>
  </si>
  <si>
    <t>Fotobioreattore</t>
  </si>
  <si>
    <t>PMMA</t>
  </si>
  <si>
    <t>Compressore</t>
  </si>
  <si>
    <t>Sacche in plastica per fitoplancton</t>
  </si>
  <si>
    <t>Pompe indoor per impianto (da canale esterno)</t>
  </si>
  <si>
    <t>Filtro everblue a cestello BAGMAX FMX-S-01</t>
  </si>
  <si>
    <t>poliammide</t>
  </si>
  <si>
    <t>nd</t>
  </si>
  <si>
    <t>Membrana filtro everblue- Problue PESm MB 09</t>
  </si>
  <si>
    <t>PESM + PVC</t>
  </si>
  <si>
    <t>Sabbia di vetro per filtri vesuvio</t>
  </si>
  <si>
    <t>riciclato da vetro</t>
  </si>
  <si>
    <t>resina di poliestere e vetroresina</t>
  </si>
  <si>
    <t xml:space="preserve">acciaio </t>
  </si>
  <si>
    <t>Flupsy in VTR</t>
  </si>
  <si>
    <t>VTR</t>
  </si>
  <si>
    <t>sabbia</t>
  </si>
  <si>
    <t>da singola sand-nursery</t>
  </si>
  <si>
    <t>in singola sand nursery</t>
  </si>
  <si>
    <t>N.. Sand-nursery presenti</t>
  </si>
  <si>
    <t>N.. Sand-nursery attive</t>
  </si>
  <si>
    <t>Pompa peristaltiche per alghe</t>
  </si>
  <si>
    <t>Waste aluminium, polystyrene, rubber, steel…</t>
  </si>
  <si>
    <t>Raceways 18 cestelli 3,75 x 1 x 1</t>
  </si>
  <si>
    <t>Raceway 16 cestelli 2,90 x 1 x 1</t>
  </si>
  <si>
    <t>Cestelli diametro 40cm</t>
  </si>
  <si>
    <t>Cestelli diametro 35cm</t>
  </si>
  <si>
    <t>Rete cestelli circolare diametro 35/40</t>
  </si>
  <si>
    <t>Tubi in vetro</t>
  </si>
  <si>
    <t>m</t>
  </si>
  <si>
    <t>vetro</t>
  </si>
  <si>
    <t>Degasatori</t>
  </si>
  <si>
    <t>inox</t>
  </si>
  <si>
    <t>peso totale</t>
  </si>
  <si>
    <t>Linea tubi pvc diametro 8 cm</t>
  </si>
  <si>
    <t>Tank per stoccaggio acqua idropulitrice</t>
  </si>
  <si>
    <t>Linea tubi pvc diametro 5 cm</t>
  </si>
  <si>
    <t>Pompe raceway per ricircolo, 140 W</t>
  </si>
  <si>
    <t>Pompe di calore, 0,54-5,05 kWh</t>
  </si>
  <si>
    <t>Waste plastic, mixture {GLO}| market for waste plastic, mixture | Cut-off, U</t>
  </si>
  <si>
    <t>Contenitore cartuccia filtro everblue</t>
  </si>
  <si>
    <t>Cartucce filtro in polipropilene everblue</t>
  </si>
  <si>
    <t>Pompa acqua da canale a indoor</t>
  </si>
  <si>
    <t>Filtri Astral Vesuvio</t>
  </si>
  <si>
    <t xml:space="preserve">Tubo sifone/idrovora (diametro 200mm) </t>
  </si>
  <si>
    <t>Idrovora, 15 kW</t>
  </si>
  <si>
    <r>
      <t xml:space="preserve">Pompe del vuoto </t>
    </r>
    <r>
      <rPr>
        <sz val="10"/>
        <rFont val="Calibri"/>
        <family val="2"/>
        <scheme val="minor"/>
      </rPr>
      <t>innesco sifoni TRVB 40-110, 4 kW</t>
    </r>
  </si>
  <si>
    <t>Pompa venturi per ossigenazione</t>
  </si>
  <si>
    <t>Sand-nursery (approx 700 m3)</t>
  </si>
  <si>
    <t>excavation</t>
  </si>
  <si>
    <t>&gt;50</t>
  </si>
  <si>
    <t>Sabbia di laguna</t>
  </si>
  <si>
    <t>&gt;51</t>
  </si>
  <si>
    <t>Bleach</t>
  </si>
  <si>
    <t>l</t>
  </si>
  <si>
    <t>stivali e waders, 5 pezzi/each</t>
  </si>
  <si>
    <t>Fuel (diesel)</t>
  </si>
  <si>
    <t>Stima per periodo allevamento da 15 ottobre a 31 luglio: solo consumi per sand nursery (24) e pompe associate</t>
  </si>
  <si>
    <t>Freshwater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</si>
</sst>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  <scheme val="minor"/>
    </font>
    <font>
      <sz val="11"/>
      <color theme="1"/>
      <name val="Lato"/>
      <family val="2"/>
    </font>
    <font>
      <sz val="11"/>
      <color rgb="FF000000"/>
      <name val="Calibri"/>
      <family val="2"/>
      <scheme val="minor"/>
    </font>
    <font>
      <sz val="11"/>
      <name val="Lato"/>
      <family val="2"/>
    </font>
    <font>
      <b/>
      <sz val="9"/>
      <color theme="1"/>
      <name val="Lato"/>
      <family val="2"/>
    </font>
    <font>
      <sz val="11"/>
      <color rgb="FF000000"/>
      <name val="Lato"/>
      <family val="2"/>
    </font>
    <font>
      <sz val="8"/>
      <name val="Calibri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</font>
    <font>
      <i/>
      <sz val="11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ED7D31"/>
      <name val="Lato"/>
      <family val="2"/>
    </font>
    <font>
      <sz val="11"/>
      <color theme="4"/>
      <name val="Calibri"/>
      <family val="2"/>
      <scheme val="minor"/>
    </font>
    <font>
      <sz val="11"/>
      <color theme="4"/>
      <name val="Calibri"/>
      <family val="2"/>
    </font>
    <font>
      <sz val="9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rgb="FFC6E1D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  <xf numFmtId="0" fontId="6" fillId="4" borderId="3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Border="1"/>
    <xf numFmtId="0" fontId="6" fillId="0" borderId="0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top"/>
    </xf>
    <xf numFmtId="0" fontId="0" fillId="0" borderId="0" xfId="0" applyBorder="1" applyAlignment="1">
      <alignment horizontal="left"/>
    </xf>
    <xf numFmtId="0" fontId="6" fillId="3" borderId="0" xfId="0" applyFont="1" applyFill="1" applyAlignment="1">
      <alignment horizontal="center"/>
    </xf>
    <xf numFmtId="1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49" fontId="10" fillId="0" borderId="0" xfId="0" applyNumberFormat="1" applyFont="1" applyFill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Fill="1"/>
    <xf numFmtId="0" fontId="12" fillId="0" borderId="0" xfId="0" applyFont="1" applyFill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12" fillId="4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2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13334</xdr:colOff>
      <xdr:row>3</xdr:row>
      <xdr:rowOff>6492</xdr:rowOff>
    </xdr:from>
    <xdr:ext cx="6686551" cy="436786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59A7CFB9-19C0-70AB-02B9-1DE754CBDA24}"/>
            </a:ext>
          </a:extLst>
        </xdr:cNvPr>
        <xdr:cNvSpPr txBox="1"/>
      </xdr:nvSpPr>
      <xdr:spPr>
        <a:xfrm>
          <a:off x="5433059" y="558942"/>
          <a:ext cx="6686551" cy="43678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it-IT" sz="1100"/>
            <a:t>I dati in verde, sono input che rimangono tendenzialmente invariati di anno in anno,</a:t>
          </a:r>
          <a:r>
            <a:rPr lang="it-IT" sz="1100" baseline="0"/>
            <a:t> a meno che non ci siano sostituzioni, rimozioni o aggiunte di infrastrutture/apparecchiature</a:t>
          </a:r>
          <a:endParaRPr lang="it-IT" sz="1100"/>
        </a:p>
      </xdr:txBody>
    </xdr:sp>
    <xdr:clientData/>
  </xdr:oneCellAnchor>
  <xdr:oneCellAnchor>
    <xdr:from>
      <xdr:col>8</xdr:col>
      <xdr:colOff>15240</xdr:colOff>
      <xdr:row>47</xdr:row>
      <xdr:rowOff>151659</xdr:rowOff>
    </xdr:from>
    <xdr:ext cx="3394710" cy="609013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1B643516-C80B-40BE-3730-7E3E125E6C60}"/>
            </a:ext>
          </a:extLst>
        </xdr:cNvPr>
        <xdr:cNvSpPr txBox="1"/>
      </xdr:nvSpPr>
      <xdr:spPr>
        <a:xfrm>
          <a:off x="7959090" y="9143259"/>
          <a:ext cx="3394710" cy="609013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it-IT" sz="1100"/>
            <a:t>l'unità di misura kgkm</a:t>
          </a:r>
          <a:r>
            <a:rPr lang="it-IT" sz="1100" baseline="0"/>
            <a:t> si calcola moltiplicando i kg di prodotto trasportato per i km percorsi, moltiplicato per il numero di viaggi fatti nell'anno di riferimento</a:t>
          </a:r>
          <a:endParaRPr lang="it-IT" sz="1100"/>
        </a:p>
      </xdr:txBody>
    </xdr:sp>
    <xdr:clientData/>
  </xdr:oneCellAnchor>
  <xdr:oneCellAnchor>
    <xdr:from>
      <xdr:col>3</xdr:col>
      <xdr:colOff>1904</xdr:colOff>
      <xdr:row>1</xdr:row>
      <xdr:rowOff>21731</xdr:rowOff>
    </xdr:from>
    <xdr:ext cx="6680835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1A540BE2-FF55-47F8-AF4E-77EDE5A71ACA}"/>
            </a:ext>
          </a:extLst>
        </xdr:cNvPr>
        <xdr:cNvSpPr txBox="1"/>
      </xdr:nvSpPr>
      <xdr:spPr>
        <a:xfrm>
          <a:off x="5421629" y="212231"/>
          <a:ext cx="6680835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it-IT" sz="1100"/>
            <a:t>Le caselle in giallo</a:t>
          </a:r>
          <a:r>
            <a:rPr lang="it-IT" sz="1100" baseline="0"/>
            <a:t> si riferiscono a dati (riferiti a consumi annuali) che devono essere aggiornati anno per anno</a:t>
          </a:r>
          <a:endParaRPr lang="it-IT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13334</xdr:colOff>
      <xdr:row>3</xdr:row>
      <xdr:rowOff>6492</xdr:rowOff>
    </xdr:from>
    <xdr:ext cx="6686551" cy="436786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8141A6BB-A342-418C-80BF-9593D823EA98}"/>
            </a:ext>
          </a:extLst>
        </xdr:cNvPr>
        <xdr:cNvSpPr txBox="1"/>
      </xdr:nvSpPr>
      <xdr:spPr>
        <a:xfrm>
          <a:off x="5436869" y="560847"/>
          <a:ext cx="6686551" cy="43678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it-IT" sz="1100"/>
            <a:t>I dati in verde, sono input che rimangono tendenzialmente invariati di anno in anno,</a:t>
          </a:r>
          <a:r>
            <a:rPr lang="it-IT" sz="1100" baseline="0"/>
            <a:t> a meno che non ci siano sostituzioni, rimozioni o aggiunte di infrastrutture/apparecchiature</a:t>
          </a:r>
          <a:endParaRPr lang="it-IT" sz="1100"/>
        </a:p>
      </xdr:txBody>
    </xdr:sp>
    <xdr:clientData/>
  </xdr:oneCellAnchor>
  <xdr:oneCellAnchor>
    <xdr:from>
      <xdr:col>8</xdr:col>
      <xdr:colOff>19050</xdr:colOff>
      <xdr:row>66</xdr:row>
      <xdr:rowOff>65546</xdr:rowOff>
    </xdr:from>
    <xdr:ext cx="3394710" cy="781240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76B2CE7D-05EA-4C74-B36A-A3498DE1E644}"/>
            </a:ext>
          </a:extLst>
        </xdr:cNvPr>
        <xdr:cNvSpPr txBox="1"/>
      </xdr:nvSpPr>
      <xdr:spPr>
        <a:xfrm>
          <a:off x="13869521" y="12571311"/>
          <a:ext cx="3394710" cy="781240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it-IT" sz="1100"/>
            <a:t>l'unità di misura kgkm</a:t>
          </a:r>
          <a:r>
            <a:rPr lang="it-IT" sz="1100" baseline="0"/>
            <a:t> si calcola moltiplicando i kg di prodotto trasportato per i km percorsi, in questo caso sommando i vari viaggi effettuati (dal momento che i volumi trasportati erano diversi) </a:t>
          </a:r>
          <a:endParaRPr lang="it-IT" sz="1100"/>
        </a:p>
      </xdr:txBody>
    </xdr:sp>
    <xdr:clientData/>
  </xdr:oneCellAnchor>
  <xdr:oneCellAnchor>
    <xdr:from>
      <xdr:col>3</xdr:col>
      <xdr:colOff>1904</xdr:colOff>
      <xdr:row>1</xdr:row>
      <xdr:rowOff>21731</xdr:rowOff>
    </xdr:from>
    <xdr:ext cx="6680835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51C88209-1FC0-459C-A7CA-E7699AA0DC63}"/>
            </a:ext>
          </a:extLst>
        </xdr:cNvPr>
        <xdr:cNvSpPr txBox="1"/>
      </xdr:nvSpPr>
      <xdr:spPr>
        <a:xfrm>
          <a:off x="5421629" y="208421"/>
          <a:ext cx="6680835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it-IT" sz="1100"/>
            <a:t>Le caselle in giallo</a:t>
          </a:r>
          <a:r>
            <a:rPr lang="it-IT" sz="1100" baseline="0"/>
            <a:t> si riferiscono a dati (riferiti a consumi annuali) che devono essere aggiornati anno per anno</a:t>
          </a:r>
          <a:endParaRPr lang="it-IT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5938</xdr:colOff>
      <xdr:row>3</xdr:row>
      <xdr:rowOff>53220</xdr:rowOff>
    </xdr:from>
    <xdr:ext cx="6686551" cy="436786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33CAF803-883B-4FA9-826C-33D46E07201D}"/>
            </a:ext>
          </a:extLst>
        </xdr:cNvPr>
        <xdr:cNvSpPr txBox="1"/>
      </xdr:nvSpPr>
      <xdr:spPr>
        <a:xfrm>
          <a:off x="6897556" y="602308"/>
          <a:ext cx="6686551" cy="43678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it-IT" sz="1100"/>
            <a:t>I dati in </a:t>
          </a:r>
          <a:r>
            <a:rPr lang="it-IT" sz="1100" b="1"/>
            <a:t>verde</a:t>
          </a:r>
          <a:r>
            <a:rPr lang="it-IT" sz="1100"/>
            <a:t>, sono input che rimangono tendenzialmente invariati di anno in anno,</a:t>
          </a:r>
          <a:r>
            <a:rPr lang="it-IT" sz="1100" baseline="0"/>
            <a:t> a meno che non ci siano sostituzioni, rimozioni o aggiunte di infrastrutture/apparecchiature</a:t>
          </a:r>
          <a:endParaRPr lang="it-IT" sz="1100"/>
        </a:p>
      </xdr:txBody>
    </xdr:sp>
    <xdr:clientData/>
  </xdr:oneCellAnchor>
  <xdr:oneCellAnchor>
    <xdr:from>
      <xdr:col>0</xdr:col>
      <xdr:colOff>131301</xdr:colOff>
      <xdr:row>83</xdr:row>
      <xdr:rowOff>98948</xdr:rowOff>
    </xdr:from>
    <xdr:ext cx="3394710" cy="789347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97F829F8-3165-4623-805B-CC0D637A6BB2}"/>
            </a:ext>
          </a:extLst>
        </xdr:cNvPr>
        <xdr:cNvSpPr txBox="1"/>
      </xdr:nvSpPr>
      <xdr:spPr>
        <a:xfrm>
          <a:off x="131301" y="15652713"/>
          <a:ext cx="3394710" cy="789347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it-IT" sz="1100"/>
            <a:t>Il trasporto  delle vongole da ecotapes a delta futuro è incluso nella scheda</a:t>
          </a:r>
          <a:r>
            <a:rPr lang="it-IT" sz="1100" baseline="0"/>
            <a:t> ecotapes italia</a:t>
          </a:r>
          <a:endParaRPr lang="it-IT" sz="1100"/>
        </a:p>
      </xdr:txBody>
    </xdr:sp>
    <xdr:clientData/>
  </xdr:oneCellAnchor>
  <xdr:oneCellAnchor>
    <xdr:from>
      <xdr:col>3</xdr:col>
      <xdr:colOff>1904</xdr:colOff>
      <xdr:row>0</xdr:row>
      <xdr:rowOff>120403</xdr:rowOff>
    </xdr:from>
    <xdr:ext cx="6680835" cy="436786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FCD16DDD-FEAB-4E75-A8B4-3B6F992E68A7}"/>
            </a:ext>
          </a:extLst>
        </xdr:cNvPr>
        <xdr:cNvSpPr txBox="1"/>
      </xdr:nvSpPr>
      <xdr:spPr>
        <a:xfrm>
          <a:off x="6873511" y="120403"/>
          <a:ext cx="6680835" cy="4367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it-IT" sz="1100"/>
            <a:t>Le caselle in </a:t>
          </a:r>
          <a:r>
            <a:rPr lang="it-IT" sz="1100" b="1"/>
            <a:t>giallo</a:t>
          </a:r>
          <a:r>
            <a:rPr lang="it-IT" sz="1100" baseline="0"/>
            <a:t> si riferiscono a dati (riferiti a consumi annuali o informazioni soggette a variazioni) che devono essere aggiornati anno per anno</a:t>
          </a:r>
          <a:endParaRPr lang="it-IT" sz="1100"/>
        </a:p>
      </xdr:txBody>
    </xdr:sp>
    <xdr:clientData/>
  </xdr:oneCellAnchor>
  <xdr:oneCellAnchor>
    <xdr:from>
      <xdr:col>4</xdr:col>
      <xdr:colOff>94575</xdr:colOff>
      <xdr:row>13</xdr:row>
      <xdr:rowOff>8069</xdr:rowOff>
    </xdr:from>
    <xdr:ext cx="6191924" cy="2159053"/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3CEA501B-BDE9-A31D-1E6D-D6E527A16DE2}"/>
            </a:ext>
          </a:extLst>
        </xdr:cNvPr>
        <xdr:cNvSpPr txBox="1"/>
      </xdr:nvSpPr>
      <xdr:spPr>
        <a:xfrm>
          <a:off x="11849546" y="2350098"/>
          <a:ext cx="6191924" cy="215905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I dati di produzione (vongole T3 seminate e T10 raccolte) riportati</a:t>
          </a:r>
          <a:r>
            <a:rPr lang="it-IT" sz="1100" baseline="0"/>
            <a:t> in questo foglio excel </a:t>
          </a:r>
          <a:r>
            <a:rPr lang="it-IT" sz="1100"/>
            <a:t>si riferiscono a ciò che viene previsto</a:t>
          </a:r>
          <a:r>
            <a:rPr lang="it-IT" sz="1100" baseline="0"/>
            <a:t> in contesto ottimizzato per 24 sand-nursery, partendo dalle informazioni ottenute dalla prova su una singola sand-nursery, i cui dati sono di seguito riportati:</a:t>
          </a:r>
        </a:p>
        <a:p>
          <a:endParaRPr lang="it-IT" sz="1100" baseline="0"/>
        </a:p>
        <a:p>
          <a:r>
            <a:rPr lang="it-IT" sz="1100" baseline="0"/>
            <a:t>- semina di 7 milioni individui ( =280 kg) T3 </a:t>
          </a:r>
        </a:p>
        <a:p>
          <a:r>
            <a:rPr lang="it-IT" sz="1100" baseline="0"/>
            <a:t>- sopravvivenza =70%</a:t>
          </a:r>
        </a:p>
        <a:p>
          <a:r>
            <a:rPr lang="it-IT" sz="1100" baseline="0"/>
            <a:t>- raccolto dopo 5-9 mesi di 4,9 milioni individui (=4900 kg) T10. </a:t>
          </a:r>
          <a:br>
            <a:rPr lang="it-IT" sz="1100" baseline="0"/>
          </a:br>
          <a:br>
            <a:rPr lang="it-IT" sz="1100" baseline="0"/>
          </a:br>
          <a:r>
            <a:rPr lang="it-IT" sz="1100" baseline="0"/>
            <a:t>Nel modello LCA (scenario) i dati produttivi sopra riportati sono stati moltioplicati per 24 sand-nursery. </a:t>
          </a:r>
        </a:p>
        <a:p>
          <a:endParaRPr lang="it-IT" sz="1100" baseline="0"/>
        </a:p>
        <a:p>
          <a:r>
            <a:rPr lang="it-IT" sz="1100" baseline="0"/>
            <a:t>In realtà , la prova di produzione pilota svolta in Delta Futuro ha previsto la semina di 5,5 milioni di indivisui T3. </a:t>
          </a:r>
          <a:endParaRPr lang="it-IT" sz="1100"/>
        </a:p>
      </xdr:txBody>
    </xdr:sp>
    <xdr:clientData/>
  </xdr:oneCellAnchor>
  <xdr:oneCellAnchor>
    <xdr:from>
      <xdr:col>7</xdr:col>
      <xdr:colOff>108249</xdr:colOff>
      <xdr:row>49</xdr:row>
      <xdr:rowOff>147805</xdr:rowOff>
    </xdr:from>
    <xdr:ext cx="3959863" cy="436786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C5E33408-3D71-3425-3897-300A5A4A0977}"/>
            </a:ext>
          </a:extLst>
        </xdr:cNvPr>
        <xdr:cNvSpPr txBox="1"/>
      </xdr:nvSpPr>
      <xdr:spPr>
        <a:xfrm>
          <a:off x="13835455" y="9594364"/>
          <a:ext cx="3959863" cy="436786"/>
        </a:xfrm>
        <a:prstGeom prst="rect">
          <a:avLst/>
        </a:prstGeom>
        <a:solidFill>
          <a:srgbClr val="92D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numero eliche (impianto completo): 2 x sand nursery (=48) + 1 nel canale + 1 nella vasca dei flupsy + 2 eliche per ogni flupsy (=6)=56</a:t>
          </a:r>
        </a:p>
      </xdr:txBody>
    </xdr:sp>
    <xdr:clientData/>
  </xdr:oneCellAnchor>
  <xdr:oneCellAnchor>
    <xdr:from>
      <xdr:col>3</xdr:col>
      <xdr:colOff>11205</xdr:colOff>
      <xdr:row>5</xdr:row>
      <xdr:rowOff>177613</xdr:rowOff>
    </xdr:from>
    <xdr:ext cx="6734736" cy="781240"/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853C9714-EDA8-9174-3060-0FB39CED7F8F}"/>
            </a:ext>
          </a:extLst>
        </xdr:cNvPr>
        <xdr:cNvSpPr txBox="1"/>
      </xdr:nvSpPr>
      <xdr:spPr>
        <a:xfrm>
          <a:off x="6902823" y="1085289"/>
          <a:ext cx="6734736" cy="7812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I materiali</a:t>
          </a:r>
          <a:r>
            <a:rPr lang="it-IT" sz="1100" baseline="0"/>
            <a:t> in INPUT scritti in </a:t>
          </a:r>
          <a:r>
            <a:rPr lang="it-IT" sz="1100" b="1" baseline="0"/>
            <a:t>blu</a:t>
          </a:r>
          <a:r>
            <a:rPr lang="it-IT" sz="1100" baseline="0"/>
            <a:t> fanno parte dell'azienda Delta Futuro, ma non sono stati inclusi nel modello LCA.</a:t>
          </a:r>
          <a:br>
            <a:rPr lang="it-IT" sz="1100" baseline="0"/>
          </a:br>
          <a:r>
            <a:rPr lang="it-IT" sz="1100" baseline="0"/>
            <a:t>Il modello infatti ha previsto, come scenario relativo a Delta Futuro, solamente la semina delle T3 nelle sand-nursery e la loro successiva raccolta. Pertanto, tutti i materiali relativi all'accrescimento delle vongole fino alla taglia T3 sono stati esclusi, anche per mancanza di dati a supporto. </a:t>
          </a:r>
          <a:endParaRPr lang="it-IT" sz="1100"/>
        </a:p>
      </xdr:txBody>
    </xdr:sp>
    <xdr:clientData/>
  </xdr:oneCellAnchor>
  <xdr:oneCellAnchor>
    <xdr:from>
      <xdr:col>6</xdr:col>
      <xdr:colOff>694989</xdr:colOff>
      <xdr:row>6</xdr:row>
      <xdr:rowOff>11652</xdr:rowOff>
    </xdr:from>
    <xdr:ext cx="4039608" cy="750348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A52F71AE-131E-4D6F-AF04-B8B460672BF5}"/>
            </a:ext>
          </a:extLst>
        </xdr:cNvPr>
        <xdr:cNvSpPr txBox="1"/>
      </xdr:nvSpPr>
      <xdr:spPr>
        <a:xfrm>
          <a:off x="13660195" y="1098623"/>
          <a:ext cx="4039608" cy="75034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t-IT" sz="1100"/>
            <a:t>I materiali</a:t>
          </a:r>
          <a:r>
            <a:rPr lang="it-IT" sz="1100" baseline="0"/>
            <a:t> in INPUT scritti in </a:t>
          </a:r>
          <a:r>
            <a:rPr lang="it-IT" sz="1100" b="1" baseline="0"/>
            <a:t>rosso</a:t>
          </a:r>
          <a:r>
            <a:rPr lang="it-IT" sz="1100" baseline="0"/>
            <a:t> sono quelli che non siamo riusciti a stimare. Riteniamo comunque che molt di essi contribuiscano in maniera marginale agli impatti e posso quindi essere esclusi. </a:t>
          </a:r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8045-43C8-4CFE-A0AC-C9A9E5A4C1D6}">
  <dimension ref="A1:I52"/>
  <sheetViews>
    <sheetView topLeftCell="A19" workbookViewId="0">
      <selection activeCell="D32" sqref="D32"/>
    </sheetView>
  </sheetViews>
  <sheetFormatPr defaultRowHeight="14.4" x14ac:dyDescent="0.3"/>
  <cols>
    <col min="1" max="1" width="43" customWidth="1"/>
    <col min="2" max="2" width="24.5546875" customWidth="1"/>
    <col min="3" max="3" width="11.33203125" customWidth="1"/>
    <col min="4" max="4" width="70.88671875" customWidth="1"/>
  </cols>
  <sheetData>
    <row r="1" spans="1:4" ht="15" thickBot="1" x14ac:dyDescent="0.35">
      <c r="A1" s="2" t="s">
        <v>0</v>
      </c>
      <c r="B1" s="2"/>
    </row>
    <row r="2" spans="1:4" x14ac:dyDescent="0.3">
      <c r="A2" s="1" t="s">
        <v>1</v>
      </c>
      <c r="B2" s="3" t="s">
        <v>2</v>
      </c>
    </row>
    <row r="3" spans="1:4" x14ac:dyDescent="0.3">
      <c r="A3" s="1" t="s">
        <v>3</v>
      </c>
      <c r="B3" s="3">
        <v>650</v>
      </c>
    </row>
    <row r="4" spans="1:4" x14ac:dyDescent="0.3">
      <c r="A4" s="4" t="s">
        <v>4</v>
      </c>
      <c r="B4" s="3" t="s">
        <v>5</v>
      </c>
    </row>
    <row r="5" spans="1:4" x14ac:dyDescent="0.3">
      <c r="A5" s="4" t="s">
        <v>6</v>
      </c>
      <c r="B5" s="3" t="s">
        <v>7</v>
      </c>
    </row>
    <row r="6" spans="1:4" x14ac:dyDescent="0.3">
      <c r="A6" s="4"/>
      <c r="B6" s="5"/>
    </row>
    <row r="7" spans="1:4" x14ac:dyDescent="0.3">
      <c r="A7" s="1" t="s">
        <v>8</v>
      </c>
      <c r="B7" s="3" t="s">
        <v>9</v>
      </c>
    </row>
    <row r="8" spans="1:4" x14ac:dyDescent="0.3">
      <c r="A8" s="1" t="s">
        <v>10</v>
      </c>
      <c r="B8" s="3" t="s">
        <v>7</v>
      </c>
    </row>
    <row r="9" spans="1:4" x14ac:dyDescent="0.3">
      <c r="A9" s="1" t="s">
        <v>11</v>
      </c>
      <c r="B9" s="6"/>
    </row>
    <row r="10" spans="1:4" x14ac:dyDescent="0.3">
      <c r="A10" s="1"/>
      <c r="B10" s="6"/>
    </row>
    <row r="11" spans="1:4" ht="28.8" x14ac:dyDescent="0.3">
      <c r="A11" s="1" t="s">
        <v>12</v>
      </c>
      <c r="B11" s="6" t="s">
        <v>13</v>
      </c>
    </row>
    <row r="12" spans="1:4" x14ac:dyDescent="0.3">
      <c r="A12" s="1" t="s">
        <v>14</v>
      </c>
      <c r="B12" s="6" t="s">
        <v>15</v>
      </c>
    </row>
    <row r="13" spans="1:4" x14ac:dyDescent="0.3">
      <c r="B13" s="26"/>
      <c r="C13" s="26"/>
    </row>
    <row r="14" spans="1:4" ht="23.4" thickBot="1" x14ac:dyDescent="0.35">
      <c r="A14" s="13" t="s">
        <v>94</v>
      </c>
      <c r="B14" s="13" t="s">
        <v>16</v>
      </c>
      <c r="C14" s="13" t="s">
        <v>17</v>
      </c>
    </row>
    <row r="15" spans="1:4" ht="27.6" customHeight="1" x14ac:dyDescent="0.3">
      <c r="A15" s="3" t="s">
        <v>95</v>
      </c>
      <c r="B15" s="8" t="s">
        <v>96</v>
      </c>
      <c r="C15" s="10" t="s">
        <v>98</v>
      </c>
      <c r="D15" s="37" t="s">
        <v>97</v>
      </c>
    </row>
    <row r="16" spans="1:4" ht="27.6" customHeight="1" x14ac:dyDescent="0.3">
      <c r="A16" s="3"/>
      <c r="B16" s="8"/>
      <c r="C16" s="40"/>
    </row>
    <row r="17" spans="1:7" ht="23.4" thickBot="1" x14ac:dyDescent="0.35">
      <c r="A17" s="13" t="s">
        <v>47</v>
      </c>
      <c r="B17" s="13" t="s">
        <v>16</v>
      </c>
      <c r="C17" s="13" t="s">
        <v>17</v>
      </c>
    </row>
    <row r="18" spans="1:7" x14ac:dyDescent="0.3">
      <c r="A18" s="3" t="s">
        <v>18</v>
      </c>
      <c r="B18" s="8" t="s">
        <v>19</v>
      </c>
      <c r="C18" s="10">
        <f>6*2*10</f>
        <v>120</v>
      </c>
      <c r="D18" t="s">
        <v>20</v>
      </c>
    </row>
    <row r="19" spans="1:7" x14ac:dyDescent="0.3">
      <c r="A19" s="3"/>
      <c r="B19" s="8"/>
      <c r="C19" s="9"/>
    </row>
    <row r="20" spans="1:7" ht="34.799999999999997" thickBot="1" x14ac:dyDescent="0.35">
      <c r="A20" s="13" t="s">
        <v>59</v>
      </c>
      <c r="B20" s="13" t="s">
        <v>21</v>
      </c>
      <c r="C20" s="13" t="s">
        <v>83</v>
      </c>
      <c r="D20" s="22" t="s">
        <v>23</v>
      </c>
      <c r="E20" s="13" t="s">
        <v>24</v>
      </c>
      <c r="F20" s="13" t="s">
        <v>25</v>
      </c>
      <c r="G20" s="13" t="s">
        <v>26</v>
      </c>
    </row>
    <row r="21" spans="1:7" x14ac:dyDescent="0.3">
      <c r="A21" s="11" t="s">
        <v>49</v>
      </c>
      <c r="B21" s="11" t="s">
        <v>27</v>
      </c>
      <c r="C21" s="11" t="s">
        <v>28</v>
      </c>
      <c r="D21" s="39" t="s">
        <v>85</v>
      </c>
      <c r="E21" s="29">
        <v>5</v>
      </c>
      <c r="F21" s="11" t="s">
        <v>48</v>
      </c>
      <c r="G21" s="33">
        <v>0.5</v>
      </c>
    </row>
    <row r="22" spans="1:7" x14ac:dyDescent="0.3">
      <c r="A22" s="6" t="s">
        <v>50</v>
      </c>
      <c r="B22" s="3" t="s">
        <v>29</v>
      </c>
      <c r="C22" s="6" t="s">
        <v>30</v>
      </c>
      <c r="D22" s="39" t="s">
        <v>86</v>
      </c>
      <c r="E22" s="30">
        <v>5</v>
      </c>
      <c r="F22" s="3" t="s">
        <v>48</v>
      </c>
      <c r="G22" s="30">
        <v>2.1</v>
      </c>
    </row>
    <row r="23" spans="1:7" x14ac:dyDescent="0.3">
      <c r="A23" s="3" t="s">
        <v>37</v>
      </c>
      <c r="B23" s="3" t="s">
        <v>38</v>
      </c>
      <c r="C23" s="6" t="s">
        <v>39</v>
      </c>
      <c r="D23" s="39" t="s">
        <v>89</v>
      </c>
      <c r="E23" s="30">
        <v>8</v>
      </c>
      <c r="F23" s="14" t="s">
        <v>48</v>
      </c>
      <c r="G23" s="30">
        <v>15</v>
      </c>
    </row>
    <row r="24" spans="1:7" x14ac:dyDescent="0.3">
      <c r="A24" s="3" t="s">
        <v>40</v>
      </c>
      <c r="B24" s="3" t="s">
        <v>41</v>
      </c>
      <c r="C24" s="3" t="s">
        <v>39</v>
      </c>
      <c r="D24" s="39" t="s">
        <v>85</v>
      </c>
      <c r="E24" s="31">
        <v>8</v>
      </c>
      <c r="F24" s="15" t="s">
        <v>48</v>
      </c>
      <c r="G24" s="30">
        <v>200</v>
      </c>
    </row>
    <row r="25" spans="1:7" x14ac:dyDescent="0.3">
      <c r="A25" s="15" t="s">
        <v>42</v>
      </c>
      <c r="B25" s="14" t="s">
        <v>43</v>
      </c>
      <c r="C25" s="3" t="s">
        <v>39</v>
      </c>
      <c r="D25" s="39" t="s">
        <v>90</v>
      </c>
      <c r="E25" s="30">
        <v>8</v>
      </c>
      <c r="F25" s="15" t="s">
        <v>48</v>
      </c>
      <c r="G25" s="30">
        <v>200</v>
      </c>
    </row>
    <row r="26" spans="1:7" x14ac:dyDescent="0.3">
      <c r="A26" s="15" t="s">
        <v>56</v>
      </c>
      <c r="B26" s="14" t="s">
        <v>44</v>
      </c>
      <c r="C26" s="3" t="s">
        <v>36</v>
      </c>
      <c r="D26" s="39" t="s">
        <v>91</v>
      </c>
      <c r="E26" s="30">
        <f>15*E25</f>
        <v>120</v>
      </c>
      <c r="F26" s="15" t="s">
        <v>48</v>
      </c>
      <c r="G26" s="30">
        <v>5.6</v>
      </c>
    </row>
    <row r="27" spans="1:7" x14ac:dyDescent="0.3">
      <c r="A27" s="15" t="s">
        <v>57</v>
      </c>
      <c r="B27" s="3" t="s">
        <v>45</v>
      </c>
      <c r="C27" s="17" t="s">
        <v>82</v>
      </c>
      <c r="D27" s="39" t="s">
        <v>84</v>
      </c>
      <c r="E27" s="30">
        <f>E26</f>
        <v>120</v>
      </c>
      <c r="F27" s="3" t="s">
        <v>48</v>
      </c>
      <c r="G27" s="34">
        <v>0.107</v>
      </c>
    </row>
    <row r="28" spans="1:7" x14ac:dyDescent="0.3">
      <c r="A28" s="14" t="s">
        <v>32</v>
      </c>
      <c r="B28" s="14" t="s">
        <v>33</v>
      </c>
      <c r="C28" s="15" t="s">
        <v>34</v>
      </c>
      <c r="D28" s="39" t="s">
        <v>87</v>
      </c>
      <c r="E28" s="30">
        <v>1</v>
      </c>
      <c r="F28" s="15" t="s">
        <v>31</v>
      </c>
      <c r="G28" s="30">
        <v>8.5</v>
      </c>
    </row>
    <row r="29" spans="1:7" x14ac:dyDescent="0.3">
      <c r="A29" s="14" t="s">
        <v>58</v>
      </c>
      <c r="B29" s="14" t="s">
        <v>33</v>
      </c>
      <c r="C29" s="3" t="s">
        <v>34</v>
      </c>
      <c r="D29" s="39" t="s">
        <v>87</v>
      </c>
      <c r="E29" s="31">
        <v>3</v>
      </c>
      <c r="F29" s="16" t="s">
        <v>31</v>
      </c>
      <c r="G29" s="35">
        <v>1</v>
      </c>
    </row>
    <row r="30" spans="1:7" x14ac:dyDescent="0.3">
      <c r="A30" s="14" t="s">
        <v>51</v>
      </c>
      <c r="B30" s="14" t="s">
        <v>33</v>
      </c>
      <c r="C30" s="15" t="s">
        <v>34</v>
      </c>
      <c r="D30" s="39" t="s">
        <v>87</v>
      </c>
      <c r="E30" s="32">
        <v>5</v>
      </c>
      <c r="F30" s="15" t="s">
        <v>48</v>
      </c>
      <c r="G30" s="30">
        <v>40</v>
      </c>
    </row>
    <row r="31" spans="1:7" x14ac:dyDescent="0.3">
      <c r="A31" s="14" t="s">
        <v>55</v>
      </c>
      <c r="B31" s="14" t="s">
        <v>33</v>
      </c>
      <c r="C31" s="6" t="s">
        <v>34</v>
      </c>
      <c r="D31" s="39" t="s">
        <v>87</v>
      </c>
      <c r="E31" s="30">
        <v>3</v>
      </c>
      <c r="F31" s="3" t="s">
        <v>48</v>
      </c>
      <c r="G31" s="30">
        <v>13</v>
      </c>
    </row>
    <row r="32" spans="1:7" x14ac:dyDescent="0.3">
      <c r="A32" s="15" t="s">
        <v>54</v>
      </c>
      <c r="B32" s="14" t="s">
        <v>33</v>
      </c>
      <c r="C32" s="6" t="s">
        <v>36</v>
      </c>
      <c r="D32" s="39" t="s">
        <v>219</v>
      </c>
      <c r="E32" s="30">
        <v>4</v>
      </c>
      <c r="F32" s="15" t="s">
        <v>48</v>
      </c>
      <c r="G32" s="30">
        <v>120</v>
      </c>
    </row>
    <row r="33" spans="1:7" x14ac:dyDescent="0.3">
      <c r="A33" s="14" t="s">
        <v>53</v>
      </c>
      <c r="B33" s="14" t="s">
        <v>35</v>
      </c>
      <c r="C33" s="15" t="s">
        <v>36</v>
      </c>
      <c r="D33" s="39" t="s">
        <v>88</v>
      </c>
      <c r="E33" s="32">
        <v>3</v>
      </c>
      <c r="F33" s="15" t="s">
        <v>48</v>
      </c>
      <c r="G33" s="30">
        <v>80</v>
      </c>
    </row>
    <row r="34" spans="1:7" x14ac:dyDescent="0.3">
      <c r="A34" s="14" t="s">
        <v>52</v>
      </c>
      <c r="B34" s="14" t="s">
        <v>33</v>
      </c>
      <c r="C34" s="15" t="s">
        <v>34</v>
      </c>
      <c r="D34" s="39" t="s">
        <v>87</v>
      </c>
      <c r="E34" s="32">
        <v>1</v>
      </c>
      <c r="F34" s="15" t="s">
        <v>48</v>
      </c>
      <c r="G34" s="30">
        <v>8.5</v>
      </c>
    </row>
    <row r="36" spans="1:7" ht="23.4" thickBot="1" x14ac:dyDescent="0.35">
      <c r="A36" s="22" t="s">
        <v>65</v>
      </c>
      <c r="B36" s="27" t="s">
        <v>66</v>
      </c>
      <c r="C36" s="27"/>
      <c r="D36" s="13" t="s">
        <v>23</v>
      </c>
      <c r="E36" s="19"/>
      <c r="F36" s="19"/>
      <c r="G36" s="19"/>
    </row>
    <row r="37" spans="1:7" x14ac:dyDescent="0.3">
      <c r="A37" s="14" t="s">
        <v>60</v>
      </c>
      <c r="B37" s="60">
        <v>10000</v>
      </c>
      <c r="C37" s="14" t="s">
        <v>67</v>
      </c>
      <c r="D37" s="14"/>
      <c r="E37" s="20"/>
    </row>
    <row r="38" spans="1:7" x14ac:dyDescent="0.3">
      <c r="A38" s="14" t="s">
        <v>61</v>
      </c>
      <c r="B38" s="60">
        <v>100</v>
      </c>
      <c r="C38" s="14" t="s">
        <v>67</v>
      </c>
      <c r="D38" s="14"/>
      <c r="E38" s="20"/>
    </row>
    <row r="39" spans="1:7" x14ac:dyDescent="0.3">
      <c r="A39" s="14" t="s">
        <v>69</v>
      </c>
      <c r="B39" s="60">
        <v>25</v>
      </c>
      <c r="C39" s="14" t="s">
        <v>68</v>
      </c>
      <c r="D39" s="14"/>
      <c r="E39" s="20"/>
    </row>
    <row r="40" spans="1:7" x14ac:dyDescent="0.3">
      <c r="A40" s="14" t="s">
        <v>62</v>
      </c>
      <c r="B40" s="60">
        <v>272</v>
      </c>
      <c r="C40" s="14" t="s">
        <v>46</v>
      </c>
      <c r="D40" s="14"/>
      <c r="E40" s="20"/>
    </row>
    <row r="41" spans="1:7" x14ac:dyDescent="0.3">
      <c r="A41" s="14" t="s">
        <v>63</v>
      </c>
      <c r="B41" s="60">
        <v>400</v>
      </c>
      <c r="C41" s="14" t="s">
        <v>48</v>
      </c>
      <c r="D41" s="39" t="s">
        <v>92</v>
      </c>
      <c r="E41" s="18"/>
    </row>
    <row r="42" spans="1:7" x14ac:dyDescent="0.3">
      <c r="A42" s="14" t="s">
        <v>64</v>
      </c>
      <c r="B42" s="60">
        <v>22</v>
      </c>
      <c r="C42" s="14" t="s">
        <v>68</v>
      </c>
      <c r="D42" s="39" t="s">
        <v>93</v>
      </c>
      <c r="E42" s="20"/>
    </row>
    <row r="43" spans="1:7" x14ac:dyDescent="0.3">
      <c r="A43" s="14" t="s">
        <v>70</v>
      </c>
      <c r="B43" s="60">
        <v>20</v>
      </c>
      <c r="C43" s="14" t="s">
        <v>48</v>
      </c>
      <c r="D43" s="39" t="s">
        <v>84</v>
      </c>
      <c r="E43" s="20"/>
    </row>
    <row r="44" spans="1:7" x14ac:dyDescent="0.3">
      <c r="A44" s="14" t="s">
        <v>71</v>
      </c>
      <c r="B44" s="61">
        <v>56569.47255911518</v>
      </c>
      <c r="C44" s="14" t="s">
        <v>73</v>
      </c>
      <c r="D44" s="39"/>
    </row>
    <row r="45" spans="1:7" x14ac:dyDescent="0.3">
      <c r="A45" s="14" t="s">
        <v>72</v>
      </c>
      <c r="B45" s="61">
        <v>24244.059668192225</v>
      </c>
      <c r="C45" s="14" t="s">
        <v>73</v>
      </c>
      <c r="D45" s="14"/>
    </row>
    <row r="49" spans="1:9" x14ac:dyDescent="0.3">
      <c r="A49" s="14" t="s">
        <v>79</v>
      </c>
      <c r="B49" s="60">
        <v>1300</v>
      </c>
      <c r="C49" s="14" t="s">
        <v>75</v>
      </c>
      <c r="D49" s="60">
        <f>((1300*(8*15)+(16*200)+(120*5.7))/20)</f>
        <v>7994.2</v>
      </c>
      <c r="E49" s="14" t="s">
        <v>78</v>
      </c>
      <c r="F49" s="62" t="s">
        <v>74</v>
      </c>
      <c r="G49" s="14"/>
      <c r="H49" s="14"/>
    </row>
    <row r="50" spans="1:9" x14ac:dyDescent="0.3">
      <c r="A50" s="14" t="s">
        <v>80</v>
      </c>
      <c r="B50" s="60">
        <v>1300</v>
      </c>
      <c r="C50" s="14" t="s">
        <v>75</v>
      </c>
      <c r="D50" s="60">
        <f>((4*1300)*12)</f>
        <v>62400</v>
      </c>
      <c r="E50" s="14" t="s">
        <v>78</v>
      </c>
      <c r="F50" s="62" t="s">
        <v>77</v>
      </c>
      <c r="G50" s="14"/>
      <c r="H50" s="14"/>
    </row>
    <row r="51" spans="1:9" x14ac:dyDescent="0.3">
      <c r="A51" s="14" t="s">
        <v>81</v>
      </c>
      <c r="B51" s="60">
        <v>1300</v>
      </c>
      <c r="C51" s="14" t="s">
        <v>75</v>
      </c>
      <c r="D51" s="60">
        <f>((25*1300)*12)</f>
        <v>390000</v>
      </c>
      <c r="E51" s="14" t="s">
        <v>78</v>
      </c>
      <c r="F51" s="62" t="s">
        <v>76</v>
      </c>
      <c r="G51" s="14"/>
      <c r="H51" s="14"/>
    </row>
    <row r="52" spans="1:9" x14ac:dyDescent="0.3">
      <c r="A52" s="23"/>
      <c r="B52" s="23"/>
      <c r="C52" s="23"/>
      <c r="I52" s="24"/>
    </row>
  </sheetData>
  <mergeCells count="2">
    <mergeCell ref="B13:C13"/>
    <mergeCell ref="B36:C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6ED6-47EF-4039-9DA1-080D54BF42D6}">
  <dimension ref="A1:I70"/>
  <sheetViews>
    <sheetView zoomScale="85" zoomScaleNormal="85" workbookViewId="0">
      <selection activeCell="B76" sqref="B76"/>
    </sheetView>
  </sheetViews>
  <sheetFormatPr defaultRowHeight="14.4" x14ac:dyDescent="0.3"/>
  <cols>
    <col min="1" max="1" width="43" customWidth="1"/>
    <col min="2" max="2" width="41.21875" bestFit="1" customWidth="1"/>
    <col min="3" max="3" width="11.33203125" customWidth="1"/>
    <col min="4" max="4" width="70.88671875" customWidth="1"/>
  </cols>
  <sheetData>
    <row r="1" spans="1:4" ht="15" thickBot="1" x14ac:dyDescent="0.35">
      <c r="A1" s="2" t="s">
        <v>0</v>
      </c>
      <c r="B1" s="2"/>
    </row>
    <row r="2" spans="1:4" x14ac:dyDescent="0.3">
      <c r="A2" s="1" t="s">
        <v>1</v>
      </c>
      <c r="B2" s="3" t="s">
        <v>99</v>
      </c>
    </row>
    <row r="3" spans="1:4" x14ac:dyDescent="0.3">
      <c r="A3" s="1" t="s">
        <v>3</v>
      </c>
      <c r="B3" s="3" t="s">
        <v>100</v>
      </c>
    </row>
    <row r="4" spans="1:4" x14ac:dyDescent="0.3">
      <c r="A4" s="4" t="s">
        <v>4</v>
      </c>
      <c r="B4" s="3" t="s">
        <v>104</v>
      </c>
    </row>
    <row r="5" spans="1:4" x14ac:dyDescent="0.3">
      <c r="A5" s="4" t="s">
        <v>6</v>
      </c>
      <c r="B5" s="3" t="s">
        <v>7</v>
      </c>
    </row>
    <row r="6" spans="1:4" x14ac:dyDescent="0.3">
      <c r="A6" s="4"/>
      <c r="B6" s="3"/>
    </row>
    <row r="7" spans="1:4" x14ac:dyDescent="0.3">
      <c r="A7" s="1" t="s">
        <v>8</v>
      </c>
      <c r="B7" s="3" t="s">
        <v>102</v>
      </c>
    </row>
    <row r="8" spans="1:4" x14ac:dyDescent="0.3">
      <c r="A8" s="1" t="s">
        <v>10</v>
      </c>
      <c r="B8" s="3" t="s">
        <v>7</v>
      </c>
    </row>
    <row r="9" spans="1:4" x14ac:dyDescent="0.3">
      <c r="A9" s="1" t="s">
        <v>11</v>
      </c>
      <c r="B9" s="3" t="s">
        <v>103</v>
      </c>
    </row>
    <row r="10" spans="1:4" x14ac:dyDescent="0.3">
      <c r="A10" s="1"/>
      <c r="B10" s="6"/>
    </row>
    <row r="11" spans="1:4" x14ac:dyDescent="0.3">
      <c r="A11" s="1" t="s">
        <v>12</v>
      </c>
      <c r="B11" s="6">
        <v>2024</v>
      </c>
    </row>
    <row r="12" spans="1:4" x14ac:dyDescent="0.3">
      <c r="A12" s="1" t="s">
        <v>14</v>
      </c>
      <c r="B12" s="6">
        <v>20</v>
      </c>
    </row>
    <row r="13" spans="1:4" x14ac:dyDescent="0.3">
      <c r="B13" s="26"/>
      <c r="C13" s="26"/>
    </row>
    <row r="14" spans="1:4" ht="23.4" thickBot="1" x14ac:dyDescent="0.35">
      <c r="A14" s="13" t="s">
        <v>94</v>
      </c>
      <c r="B14" s="13" t="s">
        <v>16</v>
      </c>
      <c r="C14" s="13" t="s">
        <v>113</v>
      </c>
      <c r="D14" s="13" t="s">
        <v>114</v>
      </c>
    </row>
    <row r="15" spans="1:4" x14ac:dyDescent="0.3">
      <c r="A15" s="3" t="s">
        <v>111</v>
      </c>
      <c r="B15" s="8" t="s">
        <v>106</v>
      </c>
      <c r="C15" s="10">
        <v>642.53</v>
      </c>
      <c r="D15" s="41">
        <v>32126588</v>
      </c>
    </row>
    <row r="16" spans="1:4" x14ac:dyDescent="0.3">
      <c r="A16" s="3" t="s">
        <v>111</v>
      </c>
      <c r="B16" s="8" t="s">
        <v>101</v>
      </c>
      <c r="C16" s="10">
        <v>1685.38</v>
      </c>
      <c r="D16" s="41">
        <v>42134387</v>
      </c>
    </row>
    <row r="17" spans="1:7" x14ac:dyDescent="0.3">
      <c r="A17" s="3" t="s">
        <v>111</v>
      </c>
      <c r="B17" s="8" t="s">
        <v>110</v>
      </c>
      <c r="C17" s="10">
        <v>1395.66</v>
      </c>
      <c r="D17" s="41">
        <v>25121802</v>
      </c>
    </row>
    <row r="18" spans="1:7" x14ac:dyDescent="0.3">
      <c r="A18" s="3" t="s">
        <v>111</v>
      </c>
      <c r="B18" s="8" t="s">
        <v>107</v>
      </c>
      <c r="C18" s="10">
        <v>1181.4000000000001</v>
      </c>
      <c r="D18" s="41">
        <v>14176777</v>
      </c>
    </row>
    <row r="19" spans="1:7" x14ac:dyDescent="0.3">
      <c r="A19" s="3" t="s">
        <v>111</v>
      </c>
      <c r="B19" s="8" t="s">
        <v>108</v>
      </c>
      <c r="C19" s="10">
        <v>1817.17</v>
      </c>
      <c r="D19" s="41">
        <v>9994410</v>
      </c>
    </row>
    <row r="20" spans="1:7" x14ac:dyDescent="0.3">
      <c r="A20" s="3" t="s">
        <v>111</v>
      </c>
      <c r="B20" s="8" t="s">
        <v>109</v>
      </c>
      <c r="C20" s="10">
        <v>75.91</v>
      </c>
      <c r="D20" s="41">
        <v>341573</v>
      </c>
    </row>
    <row r="21" spans="1:7" x14ac:dyDescent="0.3">
      <c r="A21" s="3" t="s">
        <v>111</v>
      </c>
      <c r="B21" s="8" t="s">
        <v>112</v>
      </c>
      <c r="C21" s="10">
        <v>821.09</v>
      </c>
      <c r="D21" s="41">
        <v>1231641</v>
      </c>
    </row>
    <row r="22" spans="1:7" ht="27.6" customHeight="1" x14ac:dyDescent="0.3">
      <c r="A22" s="3"/>
      <c r="B22" s="8"/>
      <c r="C22" s="40"/>
    </row>
    <row r="23" spans="1:7" ht="23.4" thickBot="1" x14ac:dyDescent="0.35">
      <c r="A23" s="13" t="s">
        <v>105</v>
      </c>
      <c r="B23" s="13" t="s">
        <v>16</v>
      </c>
      <c r="C23" s="13" t="s">
        <v>17</v>
      </c>
    </row>
    <row r="24" spans="1:7" x14ac:dyDescent="0.3">
      <c r="A24" s="3" t="s">
        <v>95</v>
      </c>
      <c r="B24" s="8" t="s">
        <v>101</v>
      </c>
      <c r="C24" s="10" t="s">
        <v>98</v>
      </c>
      <c r="D24" s="37" t="s">
        <v>97</v>
      </c>
    </row>
    <row r="25" spans="1:7" x14ac:dyDescent="0.3">
      <c r="A25" s="3"/>
      <c r="B25" s="8"/>
      <c r="C25" s="9"/>
    </row>
    <row r="26" spans="1:7" ht="34.799999999999997" thickBot="1" x14ac:dyDescent="0.35">
      <c r="A26" s="13" t="s">
        <v>59</v>
      </c>
      <c r="B26" s="13" t="s">
        <v>21</v>
      </c>
      <c r="C26" s="13" t="s">
        <v>22</v>
      </c>
      <c r="D26" s="22" t="s">
        <v>23</v>
      </c>
      <c r="E26" s="13" t="s">
        <v>24</v>
      </c>
      <c r="F26" s="13" t="s">
        <v>25</v>
      </c>
      <c r="G26" s="13" t="s">
        <v>26</v>
      </c>
    </row>
    <row r="27" spans="1:7" x14ac:dyDescent="0.3">
      <c r="A27" s="44" t="s">
        <v>136</v>
      </c>
      <c r="B27" s="44" t="s">
        <v>43</v>
      </c>
      <c r="C27" s="45">
        <v>20</v>
      </c>
      <c r="D27" s="39" t="s">
        <v>89</v>
      </c>
      <c r="E27" s="33">
        <v>5</v>
      </c>
      <c r="F27" s="1" t="s">
        <v>48</v>
      </c>
      <c r="G27" s="65">
        <v>60</v>
      </c>
    </row>
    <row r="28" spans="1:7" x14ac:dyDescent="0.3">
      <c r="A28" s="47" t="s">
        <v>137</v>
      </c>
      <c r="B28" s="47" t="s">
        <v>44</v>
      </c>
      <c r="C28" s="48">
        <v>10</v>
      </c>
      <c r="D28" s="39" t="s">
        <v>139</v>
      </c>
      <c r="E28" s="30">
        <v>20</v>
      </c>
      <c r="F28" s="1" t="s">
        <v>48</v>
      </c>
      <c r="G28" s="30">
        <v>5.5</v>
      </c>
    </row>
    <row r="29" spans="1:7" x14ac:dyDescent="0.3">
      <c r="A29" s="47" t="s">
        <v>138</v>
      </c>
      <c r="B29" s="47" t="s">
        <v>45</v>
      </c>
      <c r="C29" s="48">
        <v>1</v>
      </c>
      <c r="D29" s="39" t="s">
        <v>140</v>
      </c>
      <c r="E29" s="30">
        <v>20</v>
      </c>
      <c r="F29" s="1" t="s">
        <v>48</v>
      </c>
      <c r="G29" s="30">
        <v>0.107</v>
      </c>
    </row>
    <row r="30" spans="1:7" x14ac:dyDescent="0.3">
      <c r="A30" s="47" t="s">
        <v>42</v>
      </c>
      <c r="B30" s="47" t="s">
        <v>43</v>
      </c>
      <c r="C30" s="48">
        <v>50</v>
      </c>
      <c r="D30" s="39" t="s">
        <v>89</v>
      </c>
      <c r="E30" s="30">
        <v>1</v>
      </c>
      <c r="F30" s="1" t="s">
        <v>48</v>
      </c>
      <c r="G30" s="66">
        <v>200</v>
      </c>
    </row>
    <row r="31" spans="1:7" x14ac:dyDescent="0.3">
      <c r="A31" s="47" t="s">
        <v>115</v>
      </c>
      <c r="B31" s="47" t="s">
        <v>44</v>
      </c>
      <c r="C31" s="48">
        <v>10</v>
      </c>
      <c r="D31" s="39" t="s">
        <v>139</v>
      </c>
      <c r="E31" s="30">
        <v>15</v>
      </c>
      <c r="F31" s="1" t="s">
        <v>48</v>
      </c>
      <c r="G31" s="30">
        <v>5.6</v>
      </c>
    </row>
    <row r="32" spans="1:7" x14ac:dyDescent="0.3">
      <c r="A32" s="47" t="s">
        <v>141</v>
      </c>
      <c r="B32" s="47" t="s">
        <v>45</v>
      </c>
      <c r="C32" s="48">
        <v>1</v>
      </c>
      <c r="D32" s="39" t="s">
        <v>140</v>
      </c>
      <c r="E32" s="30">
        <v>15</v>
      </c>
      <c r="F32" s="1" t="s">
        <v>48</v>
      </c>
      <c r="G32" s="30">
        <v>0.107</v>
      </c>
    </row>
    <row r="33" spans="1:9" x14ac:dyDescent="0.3">
      <c r="A33" s="47" t="s">
        <v>143</v>
      </c>
      <c r="B33" s="47" t="s">
        <v>116</v>
      </c>
      <c r="C33" s="48">
        <v>50</v>
      </c>
      <c r="D33" s="39" t="s">
        <v>142</v>
      </c>
      <c r="E33" s="30">
        <v>1</v>
      </c>
      <c r="F33" s="1" t="s">
        <v>48</v>
      </c>
      <c r="G33" s="66">
        <v>150</v>
      </c>
    </row>
    <row r="34" spans="1:9" x14ac:dyDescent="0.3">
      <c r="A34" s="47" t="s">
        <v>144</v>
      </c>
      <c r="B34" s="47" t="s">
        <v>116</v>
      </c>
      <c r="C34" s="48">
        <v>50</v>
      </c>
      <c r="D34" s="39" t="s">
        <v>142</v>
      </c>
      <c r="E34" s="66">
        <v>3</v>
      </c>
      <c r="F34" s="1" t="s">
        <v>48</v>
      </c>
      <c r="G34" s="66">
        <v>300</v>
      </c>
    </row>
    <row r="35" spans="1:9" x14ac:dyDescent="0.3">
      <c r="A35" s="63" t="s">
        <v>117</v>
      </c>
      <c r="B35" s="47" t="s">
        <v>146</v>
      </c>
      <c r="C35" s="49">
        <v>20</v>
      </c>
      <c r="D35" s="39" t="s">
        <v>148</v>
      </c>
      <c r="E35" s="30">
        <v>3</v>
      </c>
      <c r="F35" s="1" t="s">
        <v>48</v>
      </c>
      <c r="G35" s="30">
        <v>16</v>
      </c>
    </row>
    <row r="36" spans="1:9" x14ac:dyDescent="0.3">
      <c r="A36" s="63"/>
      <c r="B36" s="47" t="s">
        <v>145</v>
      </c>
      <c r="C36" s="49">
        <v>20</v>
      </c>
      <c r="D36" s="39" t="s">
        <v>150</v>
      </c>
      <c r="E36" s="30">
        <v>3</v>
      </c>
      <c r="F36" s="1" t="s">
        <v>48</v>
      </c>
      <c r="G36" s="30">
        <v>22</v>
      </c>
    </row>
    <row r="37" spans="1:9" x14ac:dyDescent="0.3">
      <c r="A37" s="63"/>
      <c r="B37" s="47" t="s">
        <v>147</v>
      </c>
      <c r="C37" s="49">
        <v>20</v>
      </c>
      <c r="D37" s="39" t="s">
        <v>149</v>
      </c>
      <c r="E37" s="30">
        <v>3</v>
      </c>
      <c r="F37" s="1" t="s">
        <v>48</v>
      </c>
      <c r="G37" s="30" t="s">
        <v>118</v>
      </c>
    </row>
    <row r="38" spans="1:9" x14ac:dyDescent="0.3">
      <c r="A38" s="47" t="s">
        <v>151</v>
      </c>
      <c r="B38" s="47" t="s">
        <v>44</v>
      </c>
      <c r="C38" s="48">
        <v>10</v>
      </c>
      <c r="D38" s="39" t="s">
        <v>139</v>
      </c>
      <c r="E38" s="30">
        <v>30</v>
      </c>
      <c r="F38" s="1" t="s">
        <v>209</v>
      </c>
      <c r="G38" s="66">
        <v>150</v>
      </c>
      <c r="H38" s="24"/>
      <c r="I38" s="24"/>
    </row>
    <row r="39" spans="1:9" x14ac:dyDescent="0.3">
      <c r="A39" s="47" t="s">
        <v>119</v>
      </c>
      <c r="B39" s="47" t="s">
        <v>33</v>
      </c>
      <c r="C39" s="49">
        <v>5</v>
      </c>
      <c r="D39" s="39" t="s">
        <v>87</v>
      </c>
      <c r="E39" s="30">
        <v>1</v>
      </c>
      <c r="F39" s="1" t="s">
        <v>48</v>
      </c>
      <c r="G39" s="30">
        <v>19</v>
      </c>
      <c r="H39" s="24"/>
      <c r="I39" s="24"/>
    </row>
    <row r="40" spans="1:9" x14ac:dyDescent="0.3">
      <c r="A40" s="47" t="s">
        <v>120</v>
      </c>
      <c r="B40" s="47" t="s">
        <v>33</v>
      </c>
      <c r="C40" s="49">
        <v>5</v>
      </c>
      <c r="D40" s="39" t="s">
        <v>87</v>
      </c>
      <c r="E40" s="30">
        <v>2</v>
      </c>
      <c r="F40" s="1" t="s">
        <v>48</v>
      </c>
      <c r="G40" s="66">
        <v>10</v>
      </c>
      <c r="H40" s="24"/>
      <c r="I40" s="24"/>
    </row>
    <row r="41" spans="1:9" x14ac:dyDescent="0.3">
      <c r="A41" s="53" t="s">
        <v>121</v>
      </c>
      <c r="B41" s="51" t="s">
        <v>33</v>
      </c>
      <c r="C41" s="52">
        <v>5</v>
      </c>
      <c r="D41" s="39" t="s">
        <v>87</v>
      </c>
      <c r="E41" s="67">
        <v>1</v>
      </c>
      <c r="F41" s="1" t="s">
        <v>48</v>
      </c>
      <c r="G41" s="68">
        <v>1</v>
      </c>
      <c r="H41" s="59"/>
      <c r="I41" s="59"/>
    </row>
    <row r="42" spans="1:9" x14ac:dyDescent="0.3">
      <c r="A42" s="64" t="s">
        <v>155</v>
      </c>
      <c r="B42" s="53" t="s">
        <v>153</v>
      </c>
      <c r="C42" s="53">
        <v>10</v>
      </c>
      <c r="D42" s="39" t="s">
        <v>152</v>
      </c>
      <c r="E42" s="68">
        <v>14</v>
      </c>
      <c r="F42" s="1" t="s">
        <v>209</v>
      </c>
      <c r="G42" s="68">
        <f>35*14</f>
        <v>490</v>
      </c>
      <c r="H42" s="59"/>
      <c r="I42" s="59"/>
    </row>
    <row r="43" spans="1:9" x14ac:dyDescent="0.3">
      <c r="A43" s="64"/>
      <c r="B43" s="53" t="s">
        <v>154</v>
      </c>
      <c r="C43" s="53">
        <v>10</v>
      </c>
      <c r="D43" s="39" t="s">
        <v>152</v>
      </c>
      <c r="E43" s="68">
        <v>14</v>
      </c>
      <c r="F43" s="1" t="s">
        <v>209</v>
      </c>
      <c r="G43" s="68">
        <f>200*14</f>
        <v>2800</v>
      </c>
      <c r="H43" s="59"/>
      <c r="I43" s="59"/>
    </row>
    <row r="44" spans="1:9" x14ac:dyDescent="0.3">
      <c r="A44" s="53" t="s">
        <v>122</v>
      </c>
      <c r="B44" s="53" t="s">
        <v>123</v>
      </c>
      <c r="C44" s="53">
        <v>25</v>
      </c>
      <c r="D44" s="39" t="s">
        <v>140</v>
      </c>
      <c r="E44" s="68">
        <v>2</v>
      </c>
      <c r="F44" s="1" t="s">
        <v>48</v>
      </c>
      <c r="G44" s="68">
        <v>70</v>
      </c>
      <c r="H44" s="59"/>
      <c r="I44" s="59"/>
    </row>
    <row r="45" spans="1:9" x14ac:dyDescent="0.3">
      <c r="A45" s="53" t="s">
        <v>157</v>
      </c>
      <c r="B45" s="53" t="s">
        <v>124</v>
      </c>
      <c r="C45" s="53">
        <v>50</v>
      </c>
      <c r="D45" s="39" t="s">
        <v>158</v>
      </c>
      <c r="E45" s="68">
        <v>1</v>
      </c>
      <c r="F45" s="1" t="s">
        <v>48</v>
      </c>
      <c r="G45" s="68">
        <v>12000</v>
      </c>
      <c r="H45" s="59"/>
      <c r="I45" s="59"/>
    </row>
    <row r="46" spans="1:9" x14ac:dyDescent="0.3">
      <c r="A46" s="47" t="s">
        <v>125</v>
      </c>
      <c r="B46" s="47" t="s">
        <v>126</v>
      </c>
      <c r="C46" s="47">
        <v>50</v>
      </c>
      <c r="D46" s="39" t="s">
        <v>159</v>
      </c>
      <c r="E46" s="30">
        <v>2</v>
      </c>
      <c r="F46" s="1" t="s">
        <v>48</v>
      </c>
      <c r="G46" s="30">
        <v>3500</v>
      </c>
      <c r="H46" s="58"/>
      <c r="I46" s="59"/>
    </row>
    <row r="47" spans="1:9" x14ac:dyDescent="0.3">
      <c r="A47" s="47" t="s">
        <v>127</v>
      </c>
      <c r="B47" s="47" t="s">
        <v>126</v>
      </c>
      <c r="C47" s="47">
        <v>20</v>
      </c>
      <c r="D47" s="39" t="s">
        <v>159</v>
      </c>
      <c r="E47" s="30">
        <v>40</v>
      </c>
      <c r="F47" s="1" t="s">
        <v>48</v>
      </c>
      <c r="G47" s="30">
        <v>50</v>
      </c>
      <c r="H47" s="57"/>
      <c r="I47" s="59"/>
    </row>
    <row r="48" spans="1:9" x14ac:dyDescent="0.3">
      <c r="A48" s="47" t="s">
        <v>128</v>
      </c>
      <c r="B48" s="47" t="s">
        <v>129</v>
      </c>
      <c r="C48" s="47">
        <v>0.5</v>
      </c>
      <c r="D48" s="39" t="s">
        <v>159</v>
      </c>
      <c r="E48" s="30">
        <v>40</v>
      </c>
      <c r="F48" s="1" t="s">
        <v>48</v>
      </c>
      <c r="G48" s="30">
        <v>0.3</v>
      </c>
      <c r="H48" s="57"/>
      <c r="I48" s="59"/>
    </row>
    <row r="49" spans="1:9" x14ac:dyDescent="0.3">
      <c r="A49" s="47" t="s">
        <v>130</v>
      </c>
      <c r="B49" s="47" t="s">
        <v>131</v>
      </c>
      <c r="C49" s="47">
        <v>50</v>
      </c>
      <c r="D49" s="39" t="s">
        <v>139</v>
      </c>
      <c r="E49" s="30">
        <v>1</v>
      </c>
      <c r="F49" s="1" t="s">
        <v>48</v>
      </c>
      <c r="G49" s="30">
        <v>1800</v>
      </c>
      <c r="H49" s="57"/>
      <c r="I49" s="59"/>
    </row>
    <row r="50" spans="1:9" x14ac:dyDescent="0.3">
      <c r="A50" s="47" t="s">
        <v>132</v>
      </c>
      <c r="B50" s="47" t="s">
        <v>43</v>
      </c>
      <c r="C50" s="47">
        <v>20</v>
      </c>
      <c r="D50" s="39" t="s">
        <v>89</v>
      </c>
      <c r="E50" s="30">
        <v>20</v>
      </c>
      <c r="F50" s="1" t="s">
        <v>48</v>
      </c>
      <c r="G50" s="30">
        <v>59</v>
      </c>
      <c r="H50" s="57"/>
      <c r="I50" s="59"/>
    </row>
    <row r="51" spans="1:9" x14ac:dyDescent="0.3">
      <c r="A51" s="47" t="s">
        <v>133</v>
      </c>
      <c r="B51" s="47" t="s">
        <v>45</v>
      </c>
      <c r="C51" s="47">
        <v>0.5</v>
      </c>
      <c r="D51" s="39" t="s">
        <v>140</v>
      </c>
      <c r="E51" s="30">
        <v>20</v>
      </c>
      <c r="F51" s="1" t="s">
        <v>48</v>
      </c>
      <c r="G51" s="30">
        <v>0.2</v>
      </c>
      <c r="H51" s="57"/>
      <c r="I51" s="59"/>
    </row>
    <row r="52" spans="1:9" x14ac:dyDescent="0.3">
      <c r="A52" s="47" t="s">
        <v>215</v>
      </c>
      <c r="B52" s="47" t="s">
        <v>123</v>
      </c>
      <c r="C52" s="47" t="s">
        <v>134</v>
      </c>
      <c r="D52" s="39" t="s">
        <v>140</v>
      </c>
      <c r="E52" s="30">
        <v>1</v>
      </c>
      <c r="F52" s="1" t="s">
        <v>48</v>
      </c>
      <c r="G52" s="30">
        <v>70</v>
      </c>
      <c r="H52" s="57"/>
      <c r="I52" s="59"/>
    </row>
    <row r="53" spans="1:9" x14ac:dyDescent="0.3">
      <c r="A53" s="63" t="s">
        <v>135</v>
      </c>
      <c r="B53" s="47" t="s">
        <v>145</v>
      </c>
      <c r="C53" s="47">
        <v>25</v>
      </c>
      <c r="D53" s="39" t="s">
        <v>142</v>
      </c>
      <c r="E53" s="30">
        <v>6</v>
      </c>
      <c r="F53" s="1" t="s">
        <v>48</v>
      </c>
      <c r="G53" s="30">
        <f>42*0.8</f>
        <v>33.6</v>
      </c>
      <c r="H53" s="57"/>
      <c r="I53" s="59"/>
    </row>
    <row r="54" spans="1:9" x14ac:dyDescent="0.3">
      <c r="A54" s="63"/>
      <c r="B54" s="47" t="s">
        <v>123</v>
      </c>
      <c r="C54" s="47">
        <v>25</v>
      </c>
      <c r="D54" s="39" t="s">
        <v>160</v>
      </c>
      <c r="E54" s="30">
        <v>6</v>
      </c>
      <c r="F54" s="1" t="s">
        <v>48</v>
      </c>
      <c r="G54" s="30">
        <f>42*0.2</f>
        <v>8.4</v>
      </c>
      <c r="H54" s="57"/>
      <c r="I54" s="59"/>
    </row>
    <row r="55" spans="1:9" x14ac:dyDescent="0.3">
      <c r="A55" s="46"/>
      <c r="B55" s="46"/>
      <c r="C55" s="46"/>
      <c r="D55" s="46"/>
      <c r="E55" s="46"/>
      <c r="F55" s="46"/>
      <c r="G55" s="46"/>
      <c r="H55" s="57"/>
      <c r="I55" s="59"/>
    </row>
    <row r="56" spans="1:9" ht="15" thickBot="1" x14ac:dyDescent="0.35">
      <c r="A56" s="22" t="s">
        <v>65</v>
      </c>
      <c r="B56" s="27" t="s">
        <v>66</v>
      </c>
      <c r="C56" s="27"/>
      <c r="D56" s="13" t="s">
        <v>23</v>
      </c>
      <c r="E56" s="19"/>
      <c r="F56" s="19"/>
      <c r="G56" s="19"/>
    </row>
    <row r="57" spans="1:9" x14ac:dyDescent="0.3">
      <c r="A57" s="21" t="s">
        <v>61</v>
      </c>
      <c r="B57" s="28">
        <v>4.3</v>
      </c>
      <c r="C57" s="18" t="s">
        <v>67</v>
      </c>
      <c r="D57" s="18"/>
      <c r="E57" s="20"/>
    </row>
    <row r="58" spans="1:9" x14ac:dyDescent="0.3">
      <c r="A58" s="21" t="s">
        <v>162</v>
      </c>
      <c r="B58" s="28">
        <v>1</v>
      </c>
      <c r="C58" s="18" t="s">
        <v>46</v>
      </c>
      <c r="D58" s="18"/>
      <c r="E58" s="20"/>
    </row>
    <row r="59" spans="1:9" x14ac:dyDescent="0.3">
      <c r="A59" s="21" t="s">
        <v>161</v>
      </c>
      <c r="B59" s="28">
        <v>5300</v>
      </c>
      <c r="C59" s="18" t="s">
        <v>46</v>
      </c>
      <c r="D59" s="18"/>
      <c r="E59" s="20"/>
    </row>
    <row r="60" spans="1:9" x14ac:dyDescent="0.3">
      <c r="A60" s="21" t="s">
        <v>163</v>
      </c>
      <c r="B60" s="28">
        <v>442</v>
      </c>
      <c r="C60" s="18" t="s">
        <v>156</v>
      </c>
      <c r="D60" s="39"/>
      <c r="E60" s="18"/>
    </row>
    <row r="61" spans="1:9" x14ac:dyDescent="0.3">
      <c r="A61" s="21" t="s">
        <v>164</v>
      </c>
      <c r="B61" s="28">
        <v>2.16</v>
      </c>
      <c r="C61" s="18" t="s">
        <v>46</v>
      </c>
      <c r="D61" s="39"/>
      <c r="E61" s="20"/>
    </row>
    <row r="62" spans="1:9" x14ac:dyDescent="0.3">
      <c r="A62" s="18" t="s">
        <v>165</v>
      </c>
      <c r="B62" s="28" t="s">
        <v>166</v>
      </c>
      <c r="C62" s="18" t="s">
        <v>48</v>
      </c>
      <c r="D62" s="39" t="s">
        <v>139</v>
      </c>
      <c r="E62" s="20"/>
    </row>
    <row r="63" spans="1:9" x14ac:dyDescent="0.3">
      <c r="A63" s="21" t="s">
        <v>71</v>
      </c>
      <c r="B63" s="28">
        <v>40712</v>
      </c>
      <c r="C63" s="18" t="s">
        <v>73</v>
      </c>
    </row>
    <row r="64" spans="1:9" x14ac:dyDescent="0.3">
      <c r="A64" s="21" t="s">
        <v>72</v>
      </c>
      <c r="B64" s="28">
        <v>0</v>
      </c>
      <c r="C64" s="18" t="s">
        <v>73</v>
      </c>
    </row>
    <row r="68" spans="1:9" x14ac:dyDescent="0.3">
      <c r="A68" s="25" t="s">
        <v>79</v>
      </c>
      <c r="B68" s="25">
        <v>200</v>
      </c>
      <c r="C68" s="25" t="s">
        <v>75</v>
      </c>
      <c r="D68" s="37">
        <f>(834)/20*B68</f>
        <v>8340</v>
      </c>
      <c r="E68" s="1" t="s">
        <v>78</v>
      </c>
      <c r="F68" s="36" t="s">
        <v>74</v>
      </c>
    </row>
    <row r="69" spans="1:9" x14ac:dyDescent="0.3">
      <c r="A69" s="25" t="s">
        <v>167</v>
      </c>
      <c r="B69" s="25">
        <v>42</v>
      </c>
      <c r="C69" s="25" t="s">
        <v>75</v>
      </c>
      <c r="D69" s="37">
        <f>(215*42)+(120*42)+(62.6*42)+(252.59*42)+(39.8*42)+(1.77*42)+(0.6*42)</f>
        <v>29079.120000000003</v>
      </c>
      <c r="E69" s="1" t="s">
        <v>78</v>
      </c>
      <c r="F69" s="69"/>
    </row>
    <row r="70" spans="1:9" x14ac:dyDescent="0.3">
      <c r="A70" s="23"/>
      <c r="B70" s="23"/>
      <c r="C70" s="23"/>
      <c r="I70" s="24"/>
    </row>
  </sheetData>
  <mergeCells count="5">
    <mergeCell ref="B13:C13"/>
    <mergeCell ref="B56:C56"/>
    <mergeCell ref="A35:A37"/>
    <mergeCell ref="A42:A43"/>
    <mergeCell ref="A53:A54"/>
  </mergeCells>
  <phoneticPr fontId="1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7C6E-7A58-4B13-8192-69F108559228}">
  <dimension ref="A1:J83"/>
  <sheetViews>
    <sheetView tabSelected="1" zoomScale="85" zoomScaleNormal="85" workbookViewId="0">
      <selection activeCell="A51" sqref="A51:I52"/>
    </sheetView>
  </sheetViews>
  <sheetFormatPr defaultRowHeight="14.4" x14ac:dyDescent="0.3"/>
  <cols>
    <col min="1" max="1" width="43" customWidth="1"/>
    <col min="2" max="2" width="45.88671875" customWidth="1"/>
    <col min="3" max="3" width="11.33203125" customWidth="1"/>
    <col min="4" max="4" width="75.33203125" customWidth="1"/>
    <col min="7" max="7" width="11.109375" customWidth="1"/>
  </cols>
  <sheetData>
    <row r="1" spans="1:3" ht="15" thickBot="1" x14ac:dyDescent="0.35">
      <c r="A1" s="2" t="s">
        <v>0</v>
      </c>
      <c r="B1" s="2"/>
    </row>
    <row r="2" spans="1:3" x14ac:dyDescent="0.3">
      <c r="A2" s="1" t="s">
        <v>1</v>
      </c>
      <c r="B2" s="3" t="s">
        <v>168</v>
      </c>
    </row>
    <row r="3" spans="1:3" x14ac:dyDescent="0.3">
      <c r="A3" s="1" t="s">
        <v>3</v>
      </c>
      <c r="B3" s="3" t="s">
        <v>177</v>
      </c>
    </row>
    <row r="4" spans="1:3" x14ac:dyDescent="0.3">
      <c r="A4" s="4" t="s">
        <v>4</v>
      </c>
      <c r="B4" s="3" t="s">
        <v>169</v>
      </c>
    </row>
    <row r="5" spans="1:3" x14ac:dyDescent="0.3">
      <c r="A5" s="4" t="s">
        <v>6</v>
      </c>
      <c r="B5" s="3" t="s">
        <v>172</v>
      </c>
    </row>
    <row r="6" spans="1:3" x14ac:dyDescent="0.3">
      <c r="A6" s="4"/>
      <c r="B6" s="3"/>
    </row>
    <row r="7" spans="1:3" x14ac:dyDescent="0.3">
      <c r="A7" s="1" t="s">
        <v>8</v>
      </c>
      <c r="B7" s="3" t="s">
        <v>171</v>
      </c>
    </row>
    <row r="8" spans="1:3" x14ac:dyDescent="0.3">
      <c r="A8" s="1" t="s">
        <v>10</v>
      </c>
      <c r="B8" s="3" t="s">
        <v>170</v>
      </c>
    </row>
    <row r="9" spans="1:3" x14ac:dyDescent="0.3">
      <c r="A9" s="1" t="s">
        <v>11</v>
      </c>
      <c r="B9" s="3" t="s">
        <v>173</v>
      </c>
    </row>
    <row r="10" spans="1:3" x14ac:dyDescent="0.3">
      <c r="A10" s="1"/>
      <c r="B10" s="6"/>
    </row>
    <row r="11" spans="1:3" x14ac:dyDescent="0.3">
      <c r="A11" s="1" t="s">
        <v>12</v>
      </c>
      <c r="B11" s="6" t="s">
        <v>174</v>
      </c>
    </row>
    <row r="12" spans="1:3" x14ac:dyDescent="0.3">
      <c r="A12" s="1" t="s">
        <v>14</v>
      </c>
      <c r="B12" s="6">
        <v>1.5</v>
      </c>
    </row>
    <row r="13" spans="1:3" x14ac:dyDescent="0.3">
      <c r="A13" s="1" t="s">
        <v>199</v>
      </c>
      <c r="B13" s="7">
        <v>24</v>
      </c>
      <c r="C13" s="71"/>
    </row>
    <row r="14" spans="1:3" x14ac:dyDescent="0.3">
      <c r="A14" s="1" t="s">
        <v>200</v>
      </c>
      <c r="B14" s="72">
        <v>24</v>
      </c>
      <c r="C14" s="71"/>
    </row>
    <row r="15" spans="1:3" x14ac:dyDescent="0.3">
      <c r="A15" s="1"/>
      <c r="B15" s="7"/>
      <c r="C15" s="71"/>
    </row>
    <row r="16" spans="1:3" x14ac:dyDescent="0.3">
      <c r="A16" s="1"/>
      <c r="B16" s="7"/>
      <c r="C16" s="71"/>
    </row>
    <row r="17" spans="1:8" x14ac:dyDescent="0.3">
      <c r="A17" s="1"/>
      <c r="B17" s="7"/>
      <c r="C17" s="71"/>
    </row>
    <row r="18" spans="1:8" ht="23.4" thickBot="1" x14ac:dyDescent="0.35">
      <c r="A18" s="13" t="s">
        <v>94</v>
      </c>
      <c r="B18" s="13" t="s">
        <v>16</v>
      </c>
      <c r="C18" s="13" t="s">
        <v>176</v>
      </c>
      <c r="D18" s="13" t="s">
        <v>114</v>
      </c>
    </row>
    <row r="19" spans="1:8" x14ac:dyDescent="0.3">
      <c r="A19" s="3" t="s">
        <v>111</v>
      </c>
      <c r="B19" s="8" t="s">
        <v>175</v>
      </c>
      <c r="C19" s="10">
        <f>4900*24</f>
        <v>117600</v>
      </c>
      <c r="D19" s="41"/>
    </row>
    <row r="20" spans="1:8" ht="27.6" customHeight="1" x14ac:dyDescent="0.3">
      <c r="A20" s="3"/>
      <c r="B20" s="8"/>
      <c r="C20" s="40" t="s">
        <v>197</v>
      </c>
    </row>
    <row r="21" spans="1:8" ht="23.4" thickBot="1" x14ac:dyDescent="0.35">
      <c r="A21" s="13" t="s">
        <v>105</v>
      </c>
      <c r="B21" s="13" t="s">
        <v>16</v>
      </c>
      <c r="C21" s="13" t="s">
        <v>179</v>
      </c>
    </row>
    <row r="22" spans="1:8" x14ac:dyDescent="0.3">
      <c r="A22" s="3" t="s">
        <v>95</v>
      </c>
      <c r="B22" s="8" t="s">
        <v>101</v>
      </c>
      <c r="C22" s="10">
        <f>280*24</f>
        <v>6720</v>
      </c>
      <c r="D22" s="37" t="s">
        <v>178</v>
      </c>
    </row>
    <row r="23" spans="1:8" x14ac:dyDescent="0.3">
      <c r="A23" s="3"/>
      <c r="B23" s="8"/>
      <c r="C23" s="9" t="s">
        <v>198</v>
      </c>
    </row>
    <row r="24" spans="1:8" x14ac:dyDescent="0.3">
      <c r="A24" s="3"/>
      <c r="B24" s="8"/>
      <c r="C24" s="9"/>
    </row>
    <row r="25" spans="1:8" ht="34.799999999999997" thickBot="1" x14ac:dyDescent="0.35">
      <c r="A25" s="13" t="s">
        <v>59</v>
      </c>
      <c r="B25" s="13" t="s">
        <v>21</v>
      </c>
      <c r="C25" s="13" t="s">
        <v>22</v>
      </c>
      <c r="D25" s="22" t="s">
        <v>23</v>
      </c>
      <c r="E25" s="13" t="s">
        <v>24</v>
      </c>
      <c r="F25" s="13" t="s">
        <v>25</v>
      </c>
      <c r="G25" s="13" t="s">
        <v>26</v>
      </c>
      <c r="H25" s="75"/>
    </row>
    <row r="26" spans="1:8" x14ac:dyDescent="0.3">
      <c r="A26" s="88" t="s">
        <v>180</v>
      </c>
      <c r="B26" s="3" t="s">
        <v>181</v>
      </c>
      <c r="C26" s="3">
        <v>20</v>
      </c>
      <c r="D26" s="39" t="s">
        <v>140</v>
      </c>
      <c r="E26" s="30">
        <v>10</v>
      </c>
      <c r="F26" s="42" t="s">
        <v>48</v>
      </c>
      <c r="G26" s="30">
        <v>45</v>
      </c>
      <c r="H26" s="76"/>
    </row>
    <row r="27" spans="1:8" x14ac:dyDescent="0.3">
      <c r="A27" s="89" t="s">
        <v>201</v>
      </c>
      <c r="B27" s="78" t="s">
        <v>33</v>
      </c>
      <c r="C27" s="80">
        <v>5</v>
      </c>
      <c r="D27" s="39" t="s">
        <v>87</v>
      </c>
      <c r="E27" s="30">
        <v>10</v>
      </c>
      <c r="F27" s="42" t="s">
        <v>48</v>
      </c>
      <c r="G27" s="30"/>
      <c r="H27" s="51"/>
    </row>
    <row r="28" spans="1:8" x14ac:dyDescent="0.3">
      <c r="A28" s="89" t="s">
        <v>182</v>
      </c>
      <c r="B28" s="78" t="s">
        <v>33</v>
      </c>
      <c r="C28" s="80">
        <v>10</v>
      </c>
      <c r="D28" s="39" t="s">
        <v>202</v>
      </c>
      <c r="E28" s="67">
        <v>1</v>
      </c>
      <c r="F28" s="42" t="s">
        <v>48</v>
      </c>
      <c r="G28" s="67"/>
      <c r="H28" s="51"/>
    </row>
    <row r="29" spans="1:8" x14ac:dyDescent="0.3">
      <c r="A29" s="90" t="s">
        <v>50</v>
      </c>
      <c r="B29" s="38" t="s">
        <v>29</v>
      </c>
      <c r="C29" s="38">
        <v>40</v>
      </c>
      <c r="D29" s="39" t="s">
        <v>86</v>
      </c>
      <c r="E29" s="79">
        <v>22</v>
      </c>
      <c r="F29" s="38" t="s">
        <v>48</v>
      </c>
      <c r="G29" s="67">
        <v>2.1</v>
      </c>
      <c r="H29" s="51"/>
    </row>
    <row r="30" spans="1:8" x14ac:dyDescent="0.3">
      <c r="A30" s="91" t="s">
        <v>183</v>
      </c>
      <c r="B30" s="3" t="s">
        <v>27</v>
      </c>
      <c r="C30" s="6">
        <v>0.16</v>
      </c>
      <c r="D30" s="39" t="s">
        <v>148</v>
      </c>
      <c r="E30" s="30">
        <v>132</v>
      </c>
      <c r="F30" s="38" t="s">
        <v>48</v>
      </c>
      <c r="G30" s="30">
        <v>0.75</v>
      </c>
      <c r="H30" s="51"/>
    </row>
    <row r="31" spans="1:8" x14ac:dyDescent="0.3">
      <c r="A31" s="43" t="s">
        <v>184</v>
      </c>
      <c r="B31" s="50"/>
      <c r="C31" s="47"/>
      <c r="D31" s="39"/>
      <c r="E31" s="30"/>
      <c r="F31" s="55" t="s">
        <v>48</v>
      </c>
      <c r="G31" s="30"/>
      <c r="H31" s="51"/>
    </row>
    <row r="32" spans="1:8" x14ac:dyDescent="0.3">
      <c r="A32" s="43" t="s">
        <v>208</v>
      </c>
      <c r="B32" s="50" t="s">
        <v>210</v>
      </c>
      <c r="C32" s="47"/>
      <c r="D32" s="39"/>
      <c r="E32" s="30"/>
      <c r="F32" s="55" t="s">
        <v>209</v>
      </c>
      <c r="G32" s="30"/>
      <c r="H32" s="51"/>
    </row>
    <row r="33" spans="1:9" x14ac:dyDescent="0.3">
      <c r="A33" s="91" t="s">
        <v>203</v>
      </c>
      <c r="B33" s="3" t="s">
        <v>43</v>
      </c>
      <c r="C33" s="6">
        <v>50</v>
      </c>
      <c r="D33" s="39" t="s">
        <v>89</v>
      </c>
      <c r="E33" s="30">
        <v>3</v>
      </c>
      <c r="F33" s="38" t="s">
        <v>48</v>
      </c>
      <c r="G33" s="30">
        <v>250</v>
      </c>
      <c r="H33" s="51"/>
    </row>
    <row r="34" spans="1:9" x14ac:dyDescent="0.3">
      <c r="A34" s="91" t="s">
        <v>204</v>
      </c>
      <c r="B34" s="3" t="s">
        <v>43</v>
      </c>
      <c r="C34" s="6">
        <v>50</v>
      </c>
      <c r="D34" s="39" t="s">
        <v>89</v>
      </c>
      <c r="E34" s="30">
        <v>3</v>
      </c>
      <c r="F34" s="38" t="s">
        <v>48</v>
      </c>
      <c r="G34" s="30">
        <v>205</v>
      </c>
      <c r="H34" s="51"/>
      <c r="I34" s="24"/>
    </row>
    <row r="35" spans="1:9" x14ac:dyDescent="0.3">
      <c r="A35" s="91" t="s">
        <v>205</v>
      </c>
      <c r="B35" s="3" t="s">
        <v>44</v>
      </c>
      <c r="C35" s="6">
        <v>10</v>
      </c>
      <c r="D35" s="39" t="s">
        <v>139</v>
      </c>
      <c r="E35" s="30">
        <v>54</v>
      </c>
      <c r="F35" s="38" t="s">
        <v>48</v>
      </c>
      <c r="G35" s="30">
        <v>4</v>
      </c>
      <c r="H35" s="51"/>
      <c r="I35" s="24"/>
    </row>
    <row r="36" spans="1:9" x14ac:dyDescent="0.3">
      <c r="A36" s="91" t="s">
        <v>206</v>
      </c>
      <c r="B36" s="3" t="s">
        <v>44</v>
      </c>
      <c r="C36" s="6">
        <v>10</v>
      </c>
      <c r="D36" s="39" t="s">
        <v>139</v>
      </c>
      <c r="E36" s="30">
        <v>48</v>
      </c>
      <c r="F36" s="38" t="s">
        <v>48</v>
      </c>
      <c r="G36" s="30">
        <v>3.5</v>
      </c>
      <c r="H36" s="51"/>
      <c r="I36" s="24"/>
    </row>
    <row r="37" spans="1:9" x14ac:dyDescent="0.3">
      <c r="A37" s="91" t="s">
        <v>207</v>
      </c>
      <c r="B37" s="3" t="s">
        <v>45</v>
      </c>
      <c r="C37" s="6">
        <v>1</v>
      </c>
      <c r="D37" s="39" t="s">
        <v>140</v>
      </c>
      <c r="E37" s="30">
        <v>102</v>
      </c>
      <c r="F37" s="38" t="s">
        <v>48</v>
      </c>
      <c r="G37" s="30">
        <v>0.1</v>
      </c>
      <c r="H37" s="51"/>
      <c r="I37" s="59"/>
    </row>
    <row r="38" spans="1:9" x14ac:dyDescent="0.3">
      <c r="A38" s="92" t="s">
        <v>211</v>
      </c>
      <c r="B38" s="3" t="s">
        <v>44</v>
      </c>
      <c r="C38" s="6">
        <v>50</v>
      </c>
      <c r="D38" s="39" t="s">
        <v>140</v>
      </c>
      <c r="E38" s="30">
        <v>6</v>
      </c>
      <c r="F38" s="38" t="s">
        <v>48</v>
      </c>
      <c r="G38" s="30">
        <v>5</v>
      </c>
      <c r="H38" s="51"/>
      <c r="I38" s="59"/>
    </row>
    <row r="39" spans="1:9" x14ac:dyDescent="0.3">
      <c r="A39" s="92"/>
      <c r="B39" s="3" t="s">
        <v>212</v>
      </c>
      <c r="C39" s="6">
        <v>50</v>
      </c>
      <c r="D39" s="39" t="s">
        <v>142</v>
      </c>
      <c r="E39" s="30">
        <v>6</v>
      </c>
      <c r="F39" s="38" t="s">
        <v>48</v>
      </c>
      <c r="G39" s="30">
        <v>0.6</v>
      </c>
      <c r="H39" s="51"/>
      <c r="I39" s="59"/>
    </row>
    <row r="40" spans="1:9" x14ac:dyDescent="0.3">
      <c r="A40" s="91" t="s">
        <v>214</v>
      </c>
      <c r="B40" s="3" t="s">
        <v>44</v>
      </c>
      <c r="C40" s="6">
        <v>50</v>
      </c>
      <c r="D40" s="39" t="s">
        <v>139</v>
      </c>
      <c r="E40" s="30">
        <v>48</v>
      </c>
      <c r="F40" s="55" t="s">
        <v>209</v>
      </c>
      <c r="G40" s="30">
        <v>43.2</v>
      </c>
      <c r="H40" s="81" t="s">
        <v>213</v>
      </c>
      <c r="I40" s="59"/>
    </row>
    <row r="41" spans="1:9" x14ac:dyDescent="0.3">
      <c r="A41" s="91" t="s">
        <v>216</v>
      </c>
      <c r="B41" s="3" t="s">
        <v>44</v>
      </c>
      <c r="C41" s="6">
        <v>50</v>
      </c>
      <c r="D41" s="39" t="s">
        <v>139</v>
      </c>
      <c r="E41" s="30">
        <f>17*6</f>
        <v>102</v>
      </c>
      <c r="F41" s="55" t="s">
        <v>209</v>
      </c>
      <c r="G41" s="30">
        <f>8.5*6</f>
        <v>51</v>
      </c>
      <c r="H41" s="51"/>
      <c r="I41" s="59"/>
    </row>
    <row r="42" spans="1:9" x14ac:dyDescent="0.3">
      <c r="A42" s="93" t="s">
        <v>217</v>
      </c>
      <c r="B42" s="3" t="s">
        <v>33</v>
      </c>
      <c r="C42" s="6">
        <v>5</v>
      </c>
      <c r="D42" s="39" t="s">
        <v>87</v>
      </c>
      <c r="E42" s="30">
        <v>4</v>
      </c>
      <c r="F42" s="55" t="s">
        <v>48</v>
      </c>
      <c r="G42" s="30">
        <v>3.7</v>
      </c>
      <c r="H42" s="51"/>
      <c r="I42" s="59"/>
    </row>
    <row r="43" spans="1:9" x14ac:dyDescent="0.3">
      <c r="A43" s="93" t="s">
        <v>218</v>
      </c>
      <c r="B43" s="3" t="s">
        <v>33</v>
      </c>
      <c r="C43" s="6">
        <v>20</v>
      </c>
      <c r="D43" s="39" t="s">
        <v>219</v>
      </c>
      <c r="E43" s="30">
        <v>2</v>
      </c>
      <c r="F43" s="55" t="s">
        <v>48</v>
      </c>
      <c r="G43" s="30">
        <v>120</v>
      </c>
      <c r="H43" s="51"/>
      <c r="I43" s="59"/>
    </row>
    <row r="44" spans="1:9" x14ac:dyDescent="0.3">
      <c r="A44" s="5" t="s">
        <v>185</v>
      </c>
      <c r="B44" s="42" t="s">
        <v>186</v>
      </c>
      <c r="C44" s="17">
        <v>10</v>
      </c>
      <c r="D44" s="39"/>
      <c r="E44" s="30">
        <v>1</v>
      </c>
      <c r="F44" s="3" t="s">
        <v>187</v>
      </c>
      <c r="G44" s="30" t="s">
        <v>187</v>
      </c>
      <c r="H44" s="51"/>
      <c r="I44" s="59"/>
    </row>
    <row r="45" spans="1:9" x14ac:dyDescent="0.3">
      <c r="A45" s="5" t="s">
        <v>188</v>
      </c>
      <c r="B45" s="42" t="s">
        <v>189</v>
      </c>
      <c r="C45" s="48"/>
      <c r="D45" s="39"/>
      <c r="E45" s="30">
        <v>1</v>
      </c>
      <c r="F45" s="3" t="s">
        <v>187</v>
      </c>
      <c r="G45" s="30" t="s">
        <v>187</v>
      </c>
      <c r="H45" s="51"/>
      <c r="I45" s="59"/>
    </row>
    <row r="46" spans="1:9" x14ac:dyDescent="0.3">
      <c r="A46" s="5" t="s">
        <v>220</v>
      </c>
      <c r="B46" s="42" t="s">
        <v>186</v>
      </c>
      <c r="C46" s="48"/>
      <c r="D46" s="39"/>
      <c r="E46" s="30">
        <v>3</v>
      </c>
      <c r="F46" s="3" t="s">
        <v>187</v>
      </c>
      <c r="G46" s="30" t="s">
        <v>187</v>
      </c>
      <c r="H46" s="51"/>
      <c r="I46" s="59"/>
    </row>
    <row r="47" spans="1:9" x14ac:dyDescent="0.3">
      <c r="A47" s="5" t="s">
        <v>221</v>
      </c>
      <c r="B47" s="42" t="s">
        <v>43</v>
      </c>
      <c r="C47" s="48"/>
      <c r="D47" s="39"/>
      <c r="E47" s="30">
        <v>4</v>
      </c>
      <c r="F47" s="3" t="s">
        <v>187</v>
      </c>
      <c r="G47" s="30" t="s">
        <v>187</v>
      </c>
      <c r="H47" s="51"/>
      <c r="I47" s="59"/>
    </row>
    <row r="48" spans="1:9" x14ac:dyDescent="0.3">
      <c r="A48" s="43" t="s">
        <v>222</v>
      </c>
      <c r="B48" s="42" t="s">
        <v>33</v>
      </c>
      <c r="C48" s="3">
        <v>5</v>
      </c>
      <c r="D48" s="39"/>
      <c r="E48" s="82"/>
      <c r="F48" s="3"/>
      <c r="G48" s="30"/>
      <c r="H48" s="51"/>
      <c r="I48" s="59"/>
    </row>
    <row r="49" spans="1:9" x14ac:dyDescent="0.3">
      <c r="A49" s="89" t="s">
        <v>190</v>
      </c>
      <c r="B49" s="78" t="s">
        <v>191</v>
      </c>
      <c r="C49" s="78">
        <v>50</v>
      </c>
      <c r="D49" s="39" t="s">
        <v>187</v>
      </c>
      <c r="E49" s="85" t="s">
        <v>118</v>
      </c>
      <c r="G49" s="67">
        <v>415</v>
      </c>
      <c r="H49" s="51"/>
      <c r="I49" s="59"/>
    </row>
    <row r="50" spans="1:9" x14ac:dyDescent="0.3">
      <c r="A50" s="89" t="s">
        <v>223</v>
      </c>
      <c r="B50" s="80" t="s">
        <v>192</v>
      </c>
      <c r="C50" s="78">
        <v>50</v>
      </c>
      <c r="D50" s="39" t="s">
        <v>87</v>
      </c>
      <c r="E50" s="85">
        <v>2</v>
      </c>
      <c r="F50" s="3" t="s">
        <v>48</v>
      </c>
      <c r="G50" s="67">
        <v>48</v>
      </c>
      <c r="H50" s="51"/>
      <c r="I50" s="59"/>
    </row>
    <row r="51" spans="1:9" x14ac:dyDescent="0.3">
      <c r="A51" s="86" t="s">
        <v>135</v>
      </c>
      <c r="B51" s="51" t="s">
        <v>145</v>
      </c>
      <c r="C51" s="51">
        <v>25</v>
      </c>
      <c r="D51" s="39" t="s">
        <v>142</v>
      </c>
      <c r="E51" s="67">
        <v>56</v>
      </c>
      <c r="F51" s="38" t="s">
        <v>48</v>
      </c>
      <c r="G51" s="67">
        <f>42*0.8</f>
        <v>33.6</v>
      </c>
      <c r="H51" s="77"/>
      <c r="I51" s="59"/>
    </row>
    <row r="52" spans="1:9" x14ac:dyDescent="0.3">
      <c r="A52" s="86"/>
      <c r="B52" s="51" t="s">
        <v>123</v>
      </c>
      <c r="C52" s="51">
        <v>25</v>
      </c>
      <c r="D52" s="39" t="s">
        <v>160</v>
      </c>
      <c r="E52" s="67">
        <v>56</v>
      </c>
      <c r="F52" s="38" t="s">
        <v>48</v>
      </c>
      <c r="G52" s="67">
        <f>42*0.2</f>
        <v>8.4</v>
      </c>
      <c r="H52" s="77"/>
      <c r="I52" s="59"/>
    </row>
    <row r="53" spans="1:9" x14ac:dyDescent="0.3">
      <c r="A53" s="6" t="s">
        <v>225</v>
      </c>
      <c r="B53" s="3" t="s">
        <v>193</v>
      </c>
      <c r="C53" s="3">
        <v>50</v>
      </c>
      <c r="D53" s="39" t="s">
        <v>142</v>
      </c>
      <c r="E53" s="83">
        <v>2</v>
      </c>
      <c r="F53" s="38" t="s">
        <v>48</v>
      </c>
      <c r="G53" s="87">
        <v>150</v>
      </c>
      <c r="H53" s="77"/>
    </row>
    <row r="54" spans="1:9" x14ac:dyDescent="0.3">
      <c r="A54" s="80" t="s">
        <v>224</v>
      </c>
      <c r="B54" s="78" t="s">
        <v>44</v>
      </c>
      <c r="C54" s="51">
        <v>10</v>
      </c>
      <c r="D54" s="39" t="s">
        <v>139</v>
      </c>
      <c r="E54" s="85">
        <v>200</v>
      </c>
      <c r="F54" s="94" t="s">
        <v>209</v>
      </c>
      <c r="G54" s="95">
        <v>1000</v>
      </c>
      <c r="H54" s="77"/>
    </row>
    <row r="55" spans="1:9" x14ac:dyDescent="0.3">
      <c r="A55" s="80" t="s">
        <v>226</v>
      </c>
      <c r="B55" s="78" t="s">
        <v>33</v>
      </c>
      <c r="C55" s="78">
        <v>5</v>
      </c>
      <c r="D55" s="39" t="s">
        <v>87</v>
      </c>
      <c r="E55" s="85">
        <v>2</v>
      </c>
      <c r="F55" s="54"/>
      <c r="G55" s="95">
        <v>65</v>
      </c>
      <c r="H55" s="77"/>
    </row>
    <row r="56" spans="1:9" x14ac:dyDescent="0.3">
      <c r="A56" s="91" t="s">
        <v>130</v>
      </c>
      <c r="B56" s="47" t="s">
        <v>131</v>
      </c>
      <c r="C56" s="47">
        <v>50</v>
      </c>
      <c r="D56" s="39" t="s">
        <v>139</v>
      </c>
      <c r="E56" s="30">
        <v>1</v>
      </c>
      <c r="F56" s="55" t="s">
        <v>48</v>
      </c>
      <c r="G56" s="30">
        <v>1800</v>
      </c>
      <c r="H56" s="77"/>
    </row>
    <row r="57" spans="1:9" x14ac:dyDescent="0.3">
      <c r="A57" s="91" t="s">
        <v>132</v>
      </c>
      <c r="B57" s="47" t="s">
        <v>43</v>
      </c>
      <c r="C57" s="47">
        <v>20</v>
      </c>
      <c r="D57" s="39" t="s">
        <v>89</v>
      </c>
      <c r="E57" s="30">
        <v>20</v>
      </c>
      <c r="F57" s="1" t="s">
        <v>48</v>
      </c>
      <c r="G57" s="30">
        <v>59</v>
      </c>
      <c r="H57" s="77"/>
    </row>
    <row r="58" spans="1:9" x14ac:dyDescent="0.3">
      <c r="A58" s="91" t="s">
        <v>133</v>
      </c>
      <c r="B58" s="47" t="s">
        <v>45</v>
      </c>
      <c r="C58" s="47">
        <v>0.5</v>
      </c>
      <c r="D58" s="39" t="s">
        <v>140</v>
      </c>
      <c r="E58" s="30">
        <v>20</v>
      </c>
      <c r="F58" s="1" t="s">
        <v>48</v>
      </c>
      <c r="G58" s="30">
        <v>0.2</v>
      </c>
      <c r="H58" s="77"/>
    </row>
    <row r="59" spans="1:9" x14ac:dyDescent="0.3">
      <c r="A59" s="91" t="s">
        <v>194</v>
      </c>
      <c r="B59" s="96" t="s">
        <v>195</v>
      </c>
      <c r="C59" s="96">
        <v>50</v>
      </c>
      <c r="D59" s="39" t="s">
        <v>140</v>
      </c>
      <c r="E59" s="30">
        <v>1</v>
      </c>
      <c r="F59" s="1" t="s">
        <v>48</v>
      </c>
      <c r="G59" s="30">
        <v>1800</v>
      </c>
      <c r="H59" s="77"/>
    </row>
    <row r="60" spans="1:9" x14ac:dyDescent="0.3">
      <c r="A60" s="91" t="s">
        <v>132</v>
      </c>
      <c r="B60" s="96" t="s">
        <v>43</v>
      </c>
      <c r="C60" s="96">
        <v>20</v>
      </c>
      <c r="D60" s="39" t="s">
        <v>89</v>
      </c>
      <c r="E60" s="30">
        <v>20</v>
      </c>
      <c r="F60" s="1" t="s">
        <v>48</v>
      </c>
      <c r="G60" s="30">
        <v>59</v>
      </c>
      <c r="H60" s="77"/>
    </row>
    <row r="61" spans="1:9" x14ac:dyDescent="0.3">
      <c r="A61" s="91" t="s">
        <v>133</v>
      </c>
      <c r="B61" s="96" t="s">
        <v>45</v>
      </c>
      <c r="C61" s="96">
        <v>0.5</v>
      </c>
      <c r="D61" s="39" t="s">
        <v>140</v>
      </c>
      <c r="E61" s="30">
        <v>20</v>
      </c>
      <c r="F61" s="1" t="s">
        <v>48</v>
      </c>
      <c r="G61" s="30">
        <v>0.2</v>
      </c>
      <c r="H61" s="53"/>
    </row>
    <row r="62" spans="1:9" x14ac:dyDescent="0.3">
      <c r="A62" s="91" t="s">
        <v>125</v>
      </c>
      <c r="B62" s="47" t="s">
        <v>126</v>
      </c>
      <c r="C62" s="47">
        <v>50</v>
      </c>
      <c r="D62" s="39" t="s">
        <v>159</v>
      </c>
      <c r="E62" s="30">
        <v>1</v>
      </c>
      <c r="F62" s="1" t="s">
        <v>48</v>
      </c>
      <c r="G62" s="30">
        <v>3500</v>
      </c>
      <c r="H62" s="77"/>
    </row>
    <row r="63" spans="1:9" x14ac:dyDescent="0.3">
      <c r="A63" s="91" t="s">
        <v>127</v>
      </c>
      <c r="B63" s="47" t="s">
        <v>126</v>
      </c>
      <c r="C63" s="47">
        <v>20</v>
      </c>
      <c r="D63" s="39" t="s">
        <v>159</v>
      </c>
      <c r="E63" s="30">
        <v>20</v>
      </c>
      <c r="F63" s="1" t="s">
        <v>48</v>
      </c>
      <c r="G63" s="30">
        <v>50</v>
      </c>
      <c r="H63" s="77"/>
    </row>
    <row r="64" spans="1:9" x14ac:dyDescent="0.3">
      <c r="A64" s="91" t="s">
        <v>128</v>
      </c>
      <c r="B64" s="47" t="s">
        <v>129</v>
      </c>
      <c r="C64" s="47">
        <v>0.5</v>
      </c>
      <c r="D64" s="39" t="s">
        <v>159</v>
      </c>
      <c r="E64" s="30">
        <v>20</v>
      </c>
      <c r="F64" s="1" t="s">
        <v>48</v>
      </c>
      <c r="G64" s="30">
        <v>0.3</v>
      </c>
      <c r="H64" s="77"/>
    </row>
    <row r="65" spans="1:9" x14ac:dyDescent="0.3">
      <c r="A65" s="98" t="s">
        <v>227</v>
      </c>
      <c r="B65" s="97"/>
      <c r="C65" s="97"/>
      <c r="D65" s="78"/>
      <c r="E65" s="85"/>
      <c r="F65" s="84"/>
      <c r="G65" s="95"/>
      <c r="H65" s="77"/>
    </row>
    <row r="66" spans="1:9" x14ac:dyDescent="0.3">
      <c r="A66" s="6" t="s">
        <v>228</v>
      </c>
      <c r="B66" s="56" t="s">
        <v>229</v>
      </c>
      <c r="C66" s="3" t="s">
        <v>230</v>
      </c>
      <c r="D66" s="12"/>
      <c r="E66" s="35">
        <v>24</v>
      </c>
      <c r="F66" s="25" t="s">
        <v>48</v>
      </c>
      <c r="G66" s="35"/>
      <c r="H66" s="18"/>
    </row>
    <row r="67" spans="1:9" x14ac:dyDescent="0.3">
      <c r="A67" s="6" t="s">
        <v>231</v>
      </c>
      <c r="B67" s="3" t="s">
        <v>196</v>
      </c>
      <c r="C67" s="3" t="s">
        <v>232</v>
      </c>
      <c r="D67" s="12"/>
      <c r="E67" s="87"/>
      <c r="F67" s="25"/>
      <c r="G67" s="35">
        <f>1500*5500</f>
        <v>8250000</v>
      </c>
      <c r="H67" s="42"/>
      <c r="I67" s="24"/>
    </row>
    <row r="68" spans="1:9" x14ac:dyDescent="0.3">
      <c r="A68" s="6"/>
      <c r="B68" s="3"/>
      <c r="C68" s="3"/>
      <c r="D68" s="12"/>
      <c r="E68" s="70"/>
      <c r="F68" s="25"/>
      <c r="G68" s="18"/>
      <c r="H68" s="42"/>
    </row>
    <row r="69" spans="1:9" ht="15" thickBot="1" x14ac:dyDescent="0.35">
      <c r="A69" s="22" t="s">
        <v>65</v>
      </c>
      <c r="B69" s="27" t="s">
        <v>66</v>
      </c>
      <c r="C69" s="27"/>
      <c r="D69" s="13" t="s">
        <v>23</v>
      </c>
      <c r="E69" s="19"/>
      <c r="F69" s="19"/>
      <c r="G69" s="19"/>
    </row>
    <row r="70" spans="1:9" x14ac:dyDescent="0.3">
      <c r="A70" s="21" t="s">
        <v>233</v>
      </c>
      <c r="B70" s="28">
        <v>3</v>
      </c>
      <c r="C70" s="18" t="s">
        <v>234</v>
      </c>
      <c r="D70" s="18"/>
      <c r="E70" s="20"/>
    </row>
    <row r="71" spans="1:9" x14ac:dyDescent="0.3">
      <c r="A71" s="21" t="s">
        <v>162</v>
      </c>
      <c r="B71" s="28">
        <v>3</v>
      </c>
      <c r="C71" s="18" t="s">
        <v>46</v>
      </c>
      <c r="D71" s="18"/>
      <c r="E71" s="20"/>
    </row>
    <row r="72" spans="1:9" x14ac:dyDescent="0.3">
      <c r="A72" s="21" t="s">
        <v>161</v>
      </c>
      <c r="B72" s="28"/>
      <c r="C72" s="18" t="s">
        <v>46</v>
      </c>
      <c r="D72" s="18"/>
      <c r="E72" s="20"/>
    </row>
    <row r="73" spans="1:9" x14ac:dyDescent="0.3">
      <c r="A73" s="21" t="s">
        <v>62</v>
      </c>
      <c r="B73" s="28"/>
      <c r="C73" s="18" t="s">
        <v>46</v>
      </c>
      <c r="D73" s="18"/>
      <c r="E73" s="20"/>
    </row>
    <row r="74" spans="1:9" x14ac:dyDescent="0.3">
      <c r="A74" s="21" t="s">
        <v>163</v>
      </c>
      <c r="B74" s="28">
        <v>4</v>
      </c>
      <c r="C74" s="18" t="s">
        <v>46</v>
      </c>
      <c r="D74" s="39"/>
      <c r="E74" s="18"/>
    </row>
    <row r="75" spans="1:9" x14ac:dyDescent="0.3">
      <c r="A75" s="21" t="s">
        <v>164</v>
      </c>
      <c r="B75" s="28">
        <v>40</v>
      </c>
      <c r="C75" s="18" t="s">
        <v>46</v>
      </c>
      <c r="D75" s="39"/>
      <c r="E75" s="20"/>
    </row>
    <row r="76" spans="1:9" x14ac:dyDescent="0.3">
      <c r="A76" s="18" t="s">
        <v>165</v>
      </c>
      <c r="B76" s="28" t="s">
        <v>235</v>
      </c>
      <c r="C76" s="18" t="s">
        <v>48</v>
      </c>
      <c r="D76" s="39" t="s">
        <v>139</v>
      </c>
      <c r="E76" s="20"/>
    </row>
    <row r="77" spans="1:9" x14ac:dyDescent="0.3">
      <c r="A77" s="21" t="s">
        <v>71</v>
      </c>
      <c r="B77" s="28">
        <v>235391</v>
      </c>
      <c r="C77" s="18" t="s">
        <v>73</v>
      </c>
      <c r="D77" s="101" t="s">
        <v>237</v>
      </c>
    </row>
    <row r="78" spans="1:9" x14ac:dyDescent="0.3">
      <c r="A78" s="21" t="s">
        <v>72</v>
      </c>
      <c r="B78" s="28"/>
      <c r="C78" s="18" t="s">
        <v>73</v>
      </c>
    </row>
    <row r="79" spans="1:9" x14ac:dyDescent="0.3">
      <c r="A79" s="21" t="s">
        <v>236</v>
      </c>
      <c r="B79" s="28">
        <v>180</v>
      </c>
      <c r="C79" s="18" t="s">
        <v>68</v>
      </c>
    </row>
    <row r="80" spans="1:9" x14ac:dyDescent="0.3">
      <c r="A80" s="21" t="s">
        <v>238</v>
      </c>
      <c r="B80" s="28"/>
      <c r="C80" s="18" t="s">
        <v>67</v>
      </c>
    </row>
    <row r="82" spans="1:10" x14ac:dyDescent="0.3">
      <c r="A82" s="74"/>
      <c r="B82" s="74"/>
      <c r="C82" s="74"/>
      <c r="D82" s="99"/>
      <c r="E82" s="99"/>
      <c r="F82" s="100"/>
      <c r="G82" s="73"/>
      <c r="H82" s="73"/>
      <c r="I82" s="73"/>
      <c r="J82" s="73"/>
    </row>
    <row r="83" spans="1:10" x14ac:dyDescent="0.3">
      <c r="A83" s="74"/>
      <c r="B83" s="74"/>
      <c r="C83" s="74"/>
      <c r="D83" s="99"/>
      <c r="E83" s="99"/>
      <c r="F83" s="69"/>
      <c r="G83" s="73"/>
      <c r="H83" s="73"/>
      <c r="I83" s="73"/>
      <c r="J83" s="73"/>
    </row>
  </sheetData>
  <mergeCells count="3">
    <mergeCell ref="B69:C69"/>
    <mergeCell ref="A51:A52"/>
    <mergeCell ref="A38:A39"/>
  </mergeCells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Ecotapes Olanda</vt:lpstr>
      <vt:lpstr>Ecotapes Italia</vt:lpstr>
      <vt:lpstr>Delta Futuro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Martini (CREA-ZA)</dc:creator>
  <cp:lastModifiedBy>Arianna Martini (CREA-ZA)</cp:lastModifiedBy>
  <dcterms:created xsi:type="dcterms:W3CDTF">2025-10-10T12:08:05Z</dcterms:created>
  <dcterms:modified xsi:type="dcterms:W3CDTF">2025-10-13T14:41:18Z</dcterms:modified>
</cp:coreProperties>
</file>